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gistry &amp; Sources" sheetId="1" r:id="rId1"/>
    <sheet name="Rate Card &amp; Modules" sheetId="2" r:id="rId4"/>
    <sheet name="Hours &amp; Pay" sheetId="3" r:id="rId5"/>
    <sheet name="Per-Package x Tier" sheetId="4" r:id="rId6"/>
    <sheet name="Cohort 2 Funnel" sheetId="5" r:id="rId7"/>
    <sheet name="SaaS Feasibility" sheetId="6" r:id="rId8"/>
    <sheet name="Payment &amp; Excluded" sheetId="7" r:id="rId9"/>
    <sheet name="Unit Economics" sheetId="8" r:id="rId10"/>
  </sheets>
</workbook>
</file>

<file path=xl/sharedStrings.xml><?xml version="1.0" encoding="utf-8"?>
<sst xmlns="http://schemas.openxmlformats.org/spreadsheetml/2006/main" count="510" uniqueCount="510">
  <si>
    <t>ISRM pilot cohort 2 — financial feasibility &amp; registry v1</t>
  </si>
  <!-- index 0 -->
  <si>
    <t>Last updated</t>
  </si>
  <!-- index 1 -->
  <si>
    <t>2026-10-07</t>
  </si>
  <!-- index 2 -->
  <si>
    <t>Currency</t>
  </si>
  <!-- index 3 -->
  <si>
    <t>GBP</t>
  </si>
  <!-- index 4 -->
  <si>
    <t>Status legend</t>
  </si>
  <!-- index 5 -->
  <si>
    <t>verified</t>
  </si>
  <!-- index 6 -->
  <si>
    <t>assumption · conservative indicative</t>
  </si>
  <!-- index 7 -->
  <si>
    <t>assumption · unverified</t>
  </si>
  <!-- index 8 -->
  <si>
    <t>historical/inactive</t>
  </si>
  <!-- index 9 -->
  <si>
    <t>Tier legend</t>
  </si>
  <!-- index 10 -->
  <si>
    <t>T1 anchor</t>
  </si>
  <!-- index 11 -->
  <si>
    <t>T2 derived</t>
  </si>
  <!-- index 12 -->
  <si>
    <t>T3 package total</t>
  </si>
  <!-- index 13 -->
  <si>
    <t>T4 scenario</t>
  </si>
  <!-- index 14 -->
  <si>
    <t>T5 module line</t>
  </si>
  <!-- index 15 -->
  <si>
    <t>Code</t>
  </si>
  <!-- index 16 -->
  <si>
    <t>Value</t>
  </si>
  <!-- index 17 -->
  <si>
    <t>Unit</t>
  </si>
  <!-- index 18 -->
  <si>
    <t>Period</t>
  </si>
  <!-- index 19 -->
  <si>
    <t>Source / note</t>
  </si>
  <!-- index 20 -->
  <si>
    <t>Source URL</t>
  </si>
  <!-- index 21 -->
  <si>
    <t>Tier</t>
  </si>
  <!-- index 22 -->
  <si>
    <t>Status</t>
  </si>
  <!-- index 23 -->
  <si>
    <t>Verified Tier 1 anchors</t>
  </si>
  <!-- index 24 -->
  <si>
    <t>ISRM-EXT-BLS-DEV-MEAN</t>
  </si>
  <!-- index 25 -->
  <si>
    <t>66.40</t>
  </si>
  <!-- index 26 -->
  <si>
    <t>USD/h mean</t>
  </si>
  <!-- index 27 -->
  <si>
    <t>May 2023</t>
  </si>
  <!-- index 28 -->
  <si>
    <t>BLS OEWS SOC 15-1252 software developer mean wage</t>
  </si>
  <!-- index 29 -->
  <si>
    <t>https://www.bls.gov/oes/2023/may/oes151252.htm</t>
  </si>
  <!-- index 30 -->
  <si>
    <t>ISRM-EXT-BLS-DEV-P90</t>
  </si>
  <!-- index 31 -->
  <si>
    <t>100.30</t>
  </si>
  <!-- index 32 -->
  <si>
    <t>USD/h 90th pct</t>
  </si>
  <!-- index 33 -->
  <si>
    <t>BLS OEWS SOC 15-1252 90th percentile</t>
  </si>
  <!-- index 34 -->
  <si>
    <t>ISRM-EXT-CLUTCH-UA</t>
  </si>
  <!-- index 35 -->
  <si>
    <t>37</t>
  </si>
  <!-- index 36 -->
  <si>
    <t>USD/h band midpoint</t>
  </si>
  <!-- index 37 -->
  <si>
    <t>2024-Q3</t>
  </si>
  <!-- index 38 -->
  <si>
    <t>Clutch UA band $25-$49 midpoint; unverified retrieval</t>
  </si>
  <!-- index 39 -->
  <si>
    <t>https://clutch.co/developers/pricing</t>
  </si>
  <!-- index 40 -->
  <si>
    <t>ISRM-EXT-DOU-ARCH</t>
  </si>
  <!-- index 41 -->
  <si>
    <t>48.50</t>
  </si>
  <!-- index 42 -->
  <si>
    <t>GBP/h gross</t>
  </si>
  <!-- index 43 -->
  <si>
    <t>Nov-Dec 2024</t>
  </si>
  <!-- index 44 -->
  <si>
    <t>DOU.ua Winter 2025 System Architect median net → gross</t>
  </si>
  <!-- index 45 -->
  <si>
    <t>https://dou.ua/lenta/articles/salary-report-devs-winter-2025/</t>
  </si>
  <!-- index 46 -->
  <si>
    <t>ISRM-EXT-LON-TECH</t>
  </si>
  <!-- index 47 -->
  <si>
    <t>100</t>
  </si>
  <!-- index 48 -->
  <si>
    <t>GBP/h median upper</t>
  </si>
  <!-- index 49 -->
  <si>
    <t>2024</t>
  </si>
  <!-- index 50 -->
  <si>
    <t>IT Jobs Watch UK senior contractor median</t>
  </si>
  <!-- index 51 -->
  <si>
    <t>https://www.itjobswatch.co.uk/</t>
  </si>
  <!-- index 52 -->
  <si>
    <t>ISRM-PILOT-LI-FOLLOWERS</t>
  </si>
  <!-- index 53 -->
  <si>
    <t>8742</t>
  </si>
  <!-- index 54 -->
  <si>
    <t>LinkedIn Page followers</t>
  </si>
  <!-- index 55 -->
  <si>
    <t>snapshot 2026-08-28</t>
  </si>
  <!-- index 56 -->
  <si>
    <t>ISRM Ukraine CRM Dashboard Table 1 — LinkedIn public snapshot</t>
  </si>
  <!-- index 57 -->
  <si>
    <t>ISRM_Pilot_CRM</t>
  </si>
  <!-- index 58 -->
  <si>
    <t>44</t>
  </si>
  <!-- index 59 -->
  <si>
    <t>LinkedIn associated employee profiles</t>
  </si>
  <!-- index 60 -->
  <si>
    <t>10001+</t>
  </si>
  <!-- index 61 -->
  <si>
    <t>LinkedIn Page company-size setting (not membership)</t>
  </si>
  <!-- index 62 -->
  <si>
    <t>not available</t>
  </si>
  <!-- index 63 -->
  <si>
    <t>Follower names export (data-quality constraint)</t>
  </si>
  <!-- index 64 -->
  <si>
    <t>ISRM-PILOT-LI-GROUP-OBS</t>
  </si>
  <!-- index 65 -->
  <si>
    <t>11750</t>
  </si>
  <!-- index 66 -->
  <si>
    <t>LinkedIn group members (screenshot)</t>
  </si>
  <!-- index 67 -->
  <si>
    <t>capture date not recorded</t>
  </si>
  <!-- index 68 -->
  <si>
    <t>User-supplied screenshot; not used as denominator</t>
  </si>
  <!-- index 69 -->
  <si>
    <t>Pilot cohort 2 funnel — conservative indicative rates</t>
  </si>
  <!-- index 70 -->
  <si>
    <t>Funnel step</t>
  </si>
  <!-- index 71 -->
  <si>
    <t>Conservative rate</t>
  </si>
  <!-- index 72 -->
  <si>
    <t>Public benchmark lower band</t>
  </si>
  <!-- index 73 -->
  <si>
    <t>Public benchmark upper band</t>
  </si>
  <!-- index 74 -->
  <si>
    <t>Why this rate</t>
  </si>
  <!-- index 75 -->
  <si>
    <t>ISRM-PILOT-CONV-R1-APP</t>
  </si>
  <!-- index 76 -->
  <si>
    <t>0.02</t>
  </si>
  <!-- index 77 -->
  <si>
    <t>Reach → application</t>
  </si>
  <!-- index 78 -->
  <si>
    <t>0.008</t>
  </si>
  <!-- index 79 -->
  <si>
    <t>0.05</t>
  </si>
  <!-- index 80 -->
  <si>
    <t>Rival IQ median 0.41% by follower (2024); Bigeye prof-services 2.15%; Rossell assoc free-trial 3-5%</t>
  </si>
  <!-- index 81 -->
  <si>
    <t>Below 2.0% — niche single-country chapter / passive follower reach (Rival IQ 0.41%, Bigeye 2.15%)</t>
  </si>
  <!-- index 82 -->
  <si>
    <t>https://www.rivaliq.com/blog/linkedin-benchmark-report/</t>
  </si>
  <!-- index 83 -->
  <si>
    <t>https://www.bigeyeagency.com/insights/social-media-engagement-rate-benchmarks-by-industry</t>
  </si>
  <!-- index 84 -->
  <si>
    <t>ISRM-PILOT-CONV-R2-ACC</t>
  </si>
  <!-- index 85 -->
  <si>
    <t>0.30</t>
  </si>
  <!-- index 86 -->
  <si>
    <t>Application → accepted</t>
  </si>
  <!-- index 87 -->
  <si>
    <t>0.15</t>
  </si>
  <!-- index 88 -->
  <si>
    <t>Glue Up opportunity-to-committed 15-30%; Rossell free-trial 20-30%</t>
  </si>
  <!-- index 89 -->
  <si>
    <t>Upper Glue Up band; assumes manual review / LinkedIn-verified identity gate</t>
  </si>
  <!-- index 90 -->
  <si>
    <t>https://kirro.io/funnel-conversion-rate-benchmarks</t>
  </si>
  <!-- index 91 -->
  <si>
    <t>https://www.linkedin.com/pulse/how-associations-use-free-trial-memberships-growand-what-tony-rossell-kqmof</t>
  </si>
  <!-- index 92 -->
  <si>
    <t>ISRM-PILOT-CONV-R3-PAID</t>
  </si>
  <!-- index 93 -->
  <si>
    <t>0.25</t>
  </si>
  <!-- index 94 -->
  <si>
    <t>Accepted → paid</t>
  </si>
  <!-- index 95 -->
  <si>
    <t>0.20</t>
  </si>
  <!-- index 96 -->
  <si>
    <t>Rossell voluntary assoc trial-to-paid 20-30% (LinkedIn Pulse)</t>
  </si>
  <!-- index 97 -->
  <si>
    <t>Mid of Rossell band; permission-to-invoice raises to 50%</t>
  </si>
  <!-- index 98 -->
  <si>
    <t>https://aro.org/wp-content/uploads/2024/08/The_2024_Membership_Marketing_Benchmarking_Report.pdf</t>
  </si>
  <!-- index 99 -->
  <si>
    <t>ISRM-PILOT-SAAS-ENGAGE</t>
  </si>
  <!-- index 100 -->
  <si>
    <t>0.005</t>
  </si>
  <!-- index 101 -->
  <si>
    <t>Engaged-in-services share</t>
  </si>
  <!-- index 102 -->
  <si>
    <t>0.002</t>
  </si>
  <!-- index 103 -->
  <si>
    <t>0.015</t>
  </si>
  <!-- index 104 -->
  <si>
    <t>Metricuno blended visitor→paid 0.2-1.5% (2024); First Page Sage visitor→freemium 13.3% (top performers only)</t>
  </si>
  <!-- index 105 -->
  <si>
    <t>Mid of Metricuno blended visitor→paid band; below First Page Sage top-performer freemium anchor</t>
  </si>
  <!-- index 106 -->
  <si>
    <t>https://www.metricuno.com/saas-conversion-benchmarks</t>
  </si>
  <!-- index 107 -->
  <si>
    <t>https://firstpagesage.com/seo-blog/saas-free-trial-conversion-rate-benchmarks/</t>
  </si>
  <!-- index 108 -->
  <si>
    <t>ISRM-PILOT-SUB-FEE</t>
  </si>
  <!-- index 109 -->
  <si>
    <t>0</t>
  </si>
  <!-- index 110 -->
  <si>
    <t>Annual subscription fee</t>
  </si>
  <!-- index 111 -->
  <si>
    <t>GBP/paid member/year</t>
  </si>
  <!-- index 112 -->
  <si>
    <t>open · client input</t>
  </si>
  <!-- index 113 -->
  <si>
    <t>awaiting client supply — client does the arithmetic themselves</t>
  </si>
  <!-- index 114 -->
  <si>
    <t>ISRM-PILOT-SAAS-PRICE</t>
  </si>
  <!-- index 115 -->
  <si>
    <t>240</t>
  </si>
  <!-- index 116 -->
  <si>
    <t>SaaS price per engaged user</t>
  </si>
  <!-- index 117 -->
  <si>
    <t>GBP/user/year</t>
  </si>
  <!-- index 118 -->
  <si>
    <t>£240/year = £20/month anchor; below general B2B SaaS comparators £30-60/month per seat</t>
  </si>
  <!-- index 119 -->
  <si>
    <t>partner rate card</t>
  </si>
  <!-- index 120 -->
  <si>
    <t>ISRM-RATE-PARTNER-LOW</t>
  </si>
  <!-- index 121 -->
  <si>
    <t>25</t>
  </si>
  <!-- index 122 -->
  <si>
    <t>GBP/h</t>
  </si>
  <!-- index 123 -->
  <si>
    <t>Low end of Clutch UA $25-49 band converted at K_eur_usd</t>
  </si>
  <!-- index 124 -->
  <si>
    <t>ISRM-RATE-PARTNER-BASE</t>
  </si>
  <!-- index 125 -->
  <si>
    <t>Midpoint of $25-49; cross-checked vs BLS</t>
  </si>
  <!-- index 126 -->
  <si>
    <t>ISRM-RATE-PARTNER-HIGH</t>
  </si>
  <!-- index 127 -->
  <si>
    <t>49</t>
  </si>
  <!-- index 128 -->
  <si>
    <t>High end of $25-49; below BLS 90th percentile $100</t>
  </si>
  <!-- index 129 -->
  <si>
    <t>module lines T5</t>
  </si>
  <!-- index 130 -->
  <si>
    <t>Module</t>
  </si>
  <!-- index 131 -->
  <si>
    <t>Package</t>
  </si>
  <!-- index 132 -->
  <si>
    <t>Role</t>
  </si>
  <!-- index 133 -->
  <si>
    <t>Hours</t>
  </si>
  <!-- index 134 -->
  <si>
    <t>Pay base</t>
  </si>
  <!-- index 135 -->
  <si>
    <t>ISRM-MOD-MVP-SEARCH</t>
  </si>
  <!-- index 136 -->
  <si>
    <t>Search</t>
  </si>
  <!-- index 137 -->
  <si>
    <t>ops</t>
  </si>
  <!-- index 138 -->
  <si>
    <t>16</t>
  </si>
  <!-- index 139 -->
  <si>
    <t>592</t>
  </si>
  <!-- index 140 -->
  <si>
    <t>ISRM-MOD-MVP-GRAPH</t>
  </si>
  <!-- index 141 -->
  <si>
    <t>Graph</t>
  </si>
  <!-- index 142 -->
  <si>
    <t>product</t>
  </si>
  <!-- index 143 -->
  <si>
    <t>32</t>
  </si>
  <!-- index 144 -->
  <si>
    <t>740</t>
  </si>
  <!-- index 145 -->
  <si>
    <t>ISRM-MOD-PILOT-GRAPH</t>
  </si>
  <!-- index 146 -->
  <si>
    <t>Graph pilot</t>
  </si>
  <!-- index 147 -->
  <si>
    <t>20</t>
  </si>
  <!-- index 148 -->
  <si>
    <t>ISRM-MOD-PILOT-DEP</t>
  </si>
  <!-- index 149 -->
  <si>
    <t>Dependencies</t>
  </si>
  <!-- index 150 -->
  <si>
    <t>hours per package x role</t>
  </si>
  <!-- index 151 -->
  <si>
    <t>Pkg</t>
  </si>
  <!-- index 152 -->
  <si>
    <t>Title</t>
  </si>
  <!-- index 153 -->
  <si>
    <t>client-comms (h)</t>
  </si>
  <!-- index 154 -->
  <si>
    <t>ops (h)</t>
  </si>
  <!-- index 155 -->
  <si>
    <t>product (h)</t>
  </si>
  <!-- index 156 -->
  <si>
    <t>Σ hours</t>
  </si>
  <!-- index 157 -->
  <si>
    <t>01 Consulting &amp; strategy</t>
  </si>
  <!-- index 158 -->
  <si>
    <t>8</t>
  </si>
  <!-- index 159 -->
  <si>
    <t>24</t>
  </si>
  <!-- index 160 -->
  <si>
    <t>48</t>
  </si>
  <!-- index 161 -->
  <si>
    <t>02 Application MVP</t>
  </si>
  <!-- index 162 -->
  <si>
    <t>40</t>
  </si>
  <!-- index 163 -->
  <si>
    <t>80</t>
  </si>
  <!-- index 164 -->
  <si>
    <t>144</t>
  </si>
  <!-- index 165 -->
  <si>
    <t>03 Pilot functions</t>
  </si>
  <!-- index 166 -->
  <si>
    <t>60</t>
  </si>
  <!-- index 167 -->
  <si>
    <t>04 Remaining</t>
  </si>
  <!-- index 168 -->
  <si>
    <t>not yet derived</t>
  </si>
  <!-- index 169 -->
  <si>
    <t>Σ per partner</t>
  </si>
  <!-- index 170 -->
  <si>
    <t>128</t>
  </si>
  <!-- index 171 -->
  <si>
    <t>204</t>
  </si>
  <!-- index 172 -->
  <si>
    <t>432</t>
  </si>
  <!-- index 173 -->
  <si>
    <t>per-partner pay scenarios</t>
  </si>
  <!-- index 174 -->
  <si>
    <t>Partner role</t>
  </si>
  <!-- index 175 -->
  <si>
    <t>Pay low £25/h</t>
  </si>
  <!-- index 176 -->
  <si>
    <t>Pay base £37/h</t>
  </si>
  <!-- index 177 -->
  <si>
    <t>Pay high £49/h</t>
  </si>
  <!-- index 178 -->
  <si>
    <t>Σ combined</t>
  </si>
  <!-- index 179 -->
  <si>
    <t>Client communications + business development</t>
  </si>
  <!-- index 180 -->
  <si>
    <t>2500</t>
  </si>
  <!-- index 181 -->
  <si>
    <t>3700</t>
  </si>
  <!-- index 182 -->
  <si>
    <t>4900</t>
  </si>
  <!-- index 183 -->
  <si>
    <t>Operations, OSINT, events, external communications</t>
  </si>
  <!-- index 184 -->
  <si>
    <t>3200</t>
  </si>
  <!-- index 185 -->
  <si>
    <t>4736</t>
  </si>
  <!-- index 186 -->
  <si>
    <t>6272</t>
  </si>
  <!-- index 187 -->
  <si>
    <t>Product, strategy, vendor coordination</t>
  </si>
  <!-- index 188 -->
  <si>
    <t>5100</t>
  </si>
  <!-- index 189 -->
  <si>
    <t>7548</t>
  </si>
  <!-- index 190 -->
  <si>
    <t>9996</t>
  </si>
  <!-- index 191 -->
  <si>
    <t>10800</t>
  </si>
  <!-- index 192 -->
  <si>
    <t>15984</t>
  </si>
  <!-- index 193 -->
  <si>
    <t>21168</t>
  </si>
  <!-- index 194 -->
  <si>
    <t>per-package x tier x scenario</t>
  </si>
  <!-- index 195 -->
  <si>
    <t>Low T-1</t>
  </si>
  <!-- index 196 -->
  <si>
    <t>Base T-1</t>
  </si>
  <!-- index 197 -->
  <si>
    <t>High T-1</t>
  </si>
  <!-- index 198 -->
  <si>
    <t>Base T-2</t>
  </si>
  <!-- index 199 -->
  <si>
    <t>Base T-3</t>
  </si>
  <!-- index 200 -->
  <si>
    <t>1200</t>
  </si>
  <!-- index 201 -->
  <si>
    <t>1776</t>
  </si>
  <!-- index 202 -->
  <si>
    <t>2352</t>
  </si>
  <!-- index 203 -->
  <si>
    <t>2664</t>
  </si>
  <!-- index 204 -->
  <si>
    <t>3552</t>
  </si>
  <!-- index 205 -->
  <si>
    <t>3600</t>
  </si>
  <!-- index 206 -->
  <si>
    <t>5328</t>
  </si>
  <!-- index 207 -->
  <si>
    <t>7056</t>
  </si>
  <!-- index 208 -->
  <si>
    <t>7992</t>
  </si>
  <!-- index 209 -->
  <si>
    <t>N/A</t>
  </si>
  <!-- index 210 -->
  <si>
    <t>6000</t>
  </si>
  <!-- index 211 -->
  <si>
    <t>8880</t>
  </si>
  <!-- index 212 -->
  <si>
    <t>11760</t>
  </si>
  <!-- index 213 -->
  <si>
    <t>13320</t>
  </si>
  <!-- index 214 -->
  <si>
    <t>17760</t>
  </si>
  <!-- index 215 -->
  <si>
    <t>Σ 01-03 (T-1)</t>
  </si>
  <!-- index 216 -->
  <si>
    <t>Σ 01-03 (T-2)</t>
  </si>
  <!-- index 217 -->
  <si>
    <t>Σ 01-03 (T-3)</t>
  </si>
  <!-- index 218 -->
  <si>
    <t>23976</t>
  </si>
  <!-- index 219 -->
  <si>
    <t>31968</t>
  </si>
  <!-- index 220 -->
  <si>
    <t>cohort 2 funnel - inputs and outputs</t>
  </si>
  <!-- index 221 -->
  <si>
    <t>Input / step</t>
  </si>
  <!-- index 222 -->
  <si>
    <t>Formula</t>
  </si>
  <!-- index 223 -->
  <si>
    <t>LinkedIn reach</t>
  </si>
  <!-- index 224 -->
  <si>
    <t>Reach x R1 (%)</t>
  </si>
  <!-- index 225 -->
  <si>
    <t>Reach x R1 x R2</t>
  </si>
  <!-- index 226 -->
  <si>
    <t>Reach x R1 x R2 x R3</t>
  </si>
  <!-- index 227 -->
  <si>
    <t>Reach x saasEngage</t>
  </si>
  <!-- index 228 -->
  <si>
    <t>Engaged users x SaaS price</t>
  </si>
  <!-- index 229 -->
  <si>
    <t>Paid members x subscription fee</t>
  </si>
  <!-- index 230 -->
  <si>
    <t>applications</t>
  </si>
  <!-- index 231 -->
  <si>
    <t>accepted</t>
  </si>
  <!-- index 232 -->
  <si>
    <t>paid new members</t>
  </si>
  <!-- index 233 -->
  <si>
    <t>engaged-in-services users</t>
  </si>
  <!-- index 234 -->
  <si>
    <t>subscription revenue (if fee supplied)</t>
  </si>
  <!-- index 235 -->
  <si>
    <t>SaaS revenue year 1 conservative</t>
  </si>
  <!-- index 236 -->
  <si>
    <t>175</t>
  </si>
  <!-- index 237 -->
  <si>
    <t>53</t>
  </si>
  <!-- index 238 -->
  <si>
    <t>13</t>
  </si>
  <!-- index 239 -->
  <si>
    <t>£0 (awaiting fee)</t>
  </si>
  <!-- index 240 -->
  <si>
    <t>£10 560</t>
  </si>
  <!-- index 241 -->
  <si>
    <t>SaaS feasibility sensitivity</t>
  </si>
  <!-- index 242 -->
  <si>
    <t>Effective reach</t>
  </si>
  <!-- index 243 -->
  <si>
    <t>Eng-share</t>
  </si>
  <!-- index 244 -->
  <si>
    <t>ARPU</t>
  </si>
  <!-- index 245 -->
  <si>
    <t>Annual SaaS revenue</t>
  </si>
  <!-- index 246 -->
  <si>
    <t>Implication</t>
  </si>
  <!-- index 247 -->
  <si>
    <t>Current pilot</t>
  </si>
  <!-- index 248 -->
  <si>
    <t>token</t>
  </si>
  <!-- index 249 -->
  <si>
    <t>Recovers nothing of partner block. Confirms §7e.6 honest.</t>
  </si>
  <!-- index 250 -->
  <si>
    <t>£41 950</t>
  </si>
  <!-- index 251 -->
  <si>
    <t>self-sustaining</t>
  </si>
  <!-- index 252 -->
  <si>
    <t>Pilot reaches above-default services engagement; covers hosting + Cloudflare + Supabase + part-time engineer</t>
  </si>
  <!-- index 253 -->
  <si>
    <t>£52 440</t>
  </si>
  <!-- index 254 -->
  <si>
    <t>Pilot does not move; ARPU moves (corporate buyer pays for ten seats)</t>
  </si>
  <!-- index 255 -->
  <si>
    <t>50000</t>
  </si>
  <!-- index 256 -->
  <si>
    <t>International chapter scale</t>
  </si>
  <!-- index 257 -->
  <si>
    <t>£60 000</t>
  </si>
  <!-- index 258 -->
  <si>
    <t>Reach moves; engagement stays conservative. UK/US LinkedIn Page scale.</t>
  </si>
  <!-- index 259 -->
  <si>
    <t>£240 000</t>
  </si>
  <!-- index 260 -->
  <si>
    <t>real SaaS</t>
  </si>
  <!-- index 261 -->
  <si>
    <t>International chapter + above-default engagement. Realistic only after 12-24 months.</t>
  </si>
  <!-- index 262 -->
  <si>
    <t>600</t>
  </si>
  <!-- index 263 -->
  <si>
    <t>£1 500 000</t>
  </si>
  <!-- index 264 -->
  <si>
    <t>large SaaS</t>
  </si>
  <!-- index 265 -->
  <si>
    <t>Upper aspirational band; requires reach scaling + pricing tier mix shift</t>
  </si>
  <!-- index 266 -->
  <si>
    <t>Verdict</t>
  </si>
  <!-- index 267 -->
  <si>
    <t>LinkedIn alone, year 1, does NOT support meaningful SaaS revenue. To reach £30k+/year, at least one of three parameters must move:</t>
  </si>
  <!-- index 268 -->
  <si>
    <t>Effective reach 8742 → 25000+ (3×)</t>
  </si>
  <!-- index 269 -->
  <si>
    <t>Engaged-in-services share 0.5% → 2%+ (4×)</t>
  </si>
  <!-- index 270 -->
  <si>
    <t>ARPU £240 → £600+/year (5×)</t>
  </si>
  <!-- index 271 -->
  <si>
    <t>Any one → self-sustaining; any two → real SaaS. None is year-1 deliverable for current pilot.</t>
  </si>
  <!-- index 272 -->
  <si>
    <t>payment terms</t>
  </si>
  <!-- index 273 -->
  <si>
    <t>Term</t>
  </si>
  <!-- index 274 -->
  <si>
    <t>ISRM-PAY-DUE</t>
  </si>
  <!-- index 275 -->
  <si>
    <t>On acceptance</t>
  </si>
  <!-- index 276 -->
  <si>
    <t>Payment due on delivery/acceptance of each package</t>
  </si>
  <!-- index 277 -->
  <si>
    <t>ISRM-PAY-FIRST</t>
  </si>
  <!-- index 278 -->
  <si>
    <t>≥ 30%</t>
  </si>
  <!-- index 279 -->
  <si>
    <t>First payment ≥ 30% of agreed total</t>
  </si>
  <!-- index 280 -->
  <si>
    <t>ISRM-PAY-MODULE</t>
  </si>
  <!-- index 281 -->
  <si>
    <t>Module-level</t>
  </si>
  <!-- index 282 -->
  <si>
    <t>Payment on delivery/acceptance of search/graph modules</t>
  </si>
  <!-- index 283 -->
  <si>
    <t>ISRM-PAY-NOINSTAL</t>
  </si>
  <!-- index 284 -->
  <si>
    <t>Per-delivery</t>
  </si>
  <!-- index 285 -->
  <si>
    <t>No invented installment split</t>
  </si>
  <!-- index 286 -->
  <si>
    <t>ISRM-PAY-INDICATIVE</t>
  </si>
  <!-- index 287 -->
  <si>
    <t>INDICATIVE</t>
  </si>
  <!-- index 288 -->
  <si>
    <t>All totals are INDICATIVE pending scope and budget-ceiling approval</t>
  </si>
  <!-- index 289 -->
  <si>
    <t>excluded &amp; historical-inactive items</t>
  </si>
  <!-- index 290 -->
  <si>
    <t>Excluded item</t>
  </si>
  <!-- index 291 -->
  <si>
    <t>Why excluded</t>
  </si>
  <!-- index 292 -->
  <si>
    <t>ISRM-EXCL-HOSTING</t>
  </si>
  <!-- index 293 -->
  <si>
    <t>Hosting</t>
  </si>
  <!-- index 294 -->
  <si>
    <t>Not in MVP</t>
  </si>
  <!-- index 295 -->
  <si>
    <t>ISRM-EXCL-AIAPI</t>
  </si>
  <!-- index 296 -->
  <si>
    <t>AI / API usage</t>
  </si>
  <!-- index 297 -->
  <si>
    <t>ISRM-EXCL-LEGAL</t>
  </si>
  <!-- index 298 -->
  <si>
    <t>Legal &amp; privacy work</t>
  </si>
  <!-- index 299 -->
  <si>
    <t>ISRM-EXCL-REUSE</t>
  </si>
  <!-- index 300 -->
  <si>
    <t>Reuse compensation</t>
  </si>
  <!-- index 301 -->
  <si>
    <t>Pending agreement</t>
  </si>
  <!-- index 302 -->
  <si>
    <t>ISRM-EXCL-TAX</t>
  </si>
  <!-- index 303 -->
  <si>
    <t>Tax &amp; ongoing support</t>
  </si>
  <!-- index 304 -->
  <si>
    <t>Out of scope</t>
  </si>
  <!-- index 305 -->
  <si>
    <t>ISRM-EXCL-CONF</t>
  </si>
  <!-- index 306 -->
  <si>
    <t>LinkedIn confirmed experts</t>
  </si>
  <!-- index 307 -->
  <si>
    <t>Awaiting pilot measurement</t>
  </si>
  <!-- index 308 -->
  <si>
    <t>ISRM-EXCL-MULT</t>
  </si>
  <!-- index 309 -->
  <si>
    <t>M = 3.0 (Maister / AIA DPE)</t>
  </si>
  <!-- index 310 -->
  <si>
    <t>Historical/inactive</t>
  </si>
  <!-- index 311 -->
  <si>
    <t>ISRM-EXCL-2080H</t>
  </si>
  <!-- index 312 -->
  <si>
    <t>2 080 h greenfield €66 090</t>
  </si>
  <!-- index 313 -->
  <si>
    <t>ISRM-EXCL-198K</t>
  </si>
  <!-- index 314 -->
  <si>
    <t>Commercial €198 270</t>
  </si>
  <!-- index 315 -->
  <si>
    <t>ISRM-EXCL-54100</t>
  </si>
  <!-- index 316 -->
  <si>
    <t>Base MVP €54 100</t>
  </si>
  <!-- index 317 -->
  <si>
    <t>ISRM-EXCL-OSINT</t>
  </si>
  <!-- index 318 -->
  <si>
    <t>AI OSINT 480 h × €45/h × 3 = €64 800</t>
  </si>
  <!-- index 319 -->
  <si>
    <t>ISRM-EXCL-TRANCHE</t>
  </si>
  <!-- index 320 -->
  <si>
    <t>Tranches 30/40/30</t>
  </si>
  <!-- index 321 -->
  <si>
    <t>unit economics</t>
  </si>
  <!-- index 322 -->
  <si>
    <t>Action</t>
  </si>
  <!-- index 323 -->
  <si>
    <t>Partner time</t>
  </si>
  <!-- index 324 -->
  <si>
    <t>Fee @ base £37/h</t>
  </si>
  <!-- index 325 -->
  <si>
    <t>Tier gate</t>
  </si>
  <!-- index 326 -->
  <si>
    <t>ISRM-UE-CONTRIB</t>
  </si>
  <!-- index 327 -->
  <si>
    <t>1 contribution</t>
  </si>
  <!-- index 328 -->
  <si>
    <t>0.5</t>
  </si>
  <!-- index 329 -->
  <si>
    <t>18.50</t>
  </si>
  <!-- index 330 -->
  <si>
    <t>all</t>
  </si>
  <!-- index 331 -->
  <si>
    <t>ISRM-UE-ARTICLE</t>
  </si>
  <!-- index 332 -->
  <si>
    <t>1 article</t>
  </si>
  <!-- index 333 -->
  <si>
    <t>8-16</t>
  </si>
  <!-- index 334 -->
  <si>
    <t>296-592</t>
  </si>
  <!-- index 335 -->
  <si>
    <t>T-2/T-3</t>
  </si>
  <!-- index 336 -->
  <si>
    <t>ISRM-UE-PLACE</t>
  </si>
  <!-- index 337 -->
  <si>
    <t>1 placement</t>
  </si>
  <!-- index 338 -->
  <si>
    <t>system</t>
  </si>
  <!-- index 339 -->
  <si>
    <t>ISRM-UE-SERVICE</t>
  </si>
  <!-- index 340 -->
  <si>
    <t>1 client service</t>
  </si>
  <!-- index 341 -->
  <si>
    <t>2-4</t>
  </si>
  <!-- index 342 -->
  <si>
    <t>74-148</t>
  </si>
  <!-- index 343 -->
  <si>
    <t>ISRM-UE-CONF</t>
  </si>
  <!-- index 344 -->
  <si>
    <t>1 conference</t>
  </si>
  <!-- index 345 -->
  <si>
    <t>ISRM-UE-OSINT</t>
  </si>
  <!-- index 346 -->
  <si>
    <t>1 OSINT search</t>
  </si>
  <!-- index 347 -->
  <si>
    <t>T-3</t>
  </si>
  <!-- index 348 -->
  <si>
    <t>Function</t>
  </si>
  <!-- index 349 -->
  <si>
    <t>KPI</t>
  </si>
  <!-- index 350 -->
  <si>
    <t>Capacity</t>
  </si>
  <!-- index 351 -->
  <si>
    <t>Gate</t>
  </si>
  <!-- index 352 -->
  <si>
    <t>ISRM-KPI-SEARCH</t>
  </si>
  <!-- index 353 -->
  <si>
    <t>query response time</t>
  </si>
  <!-- index 354 -->
  <si>
    <t>&lt; 1s for n=100</t>
  </si>
  <!-- index 355 -->
  <si>
    <t>always on</t>
  </si>
  <!-- index 356 -->
  <si>
    <t>ISRM-KPI-GRAPH</t>
  </si>
  <!-- index 357 -->
  <si>
    <t>nodes rendered</t>
  </si>
  <!-- index 358 -->
  <si>
    <t>178 → 1 000</t>
  </si>
  <!-- index 359 -->
  <si>
    <t>ISRM-KPI-DEPENDENCY</t>
  </si>
  <!-- index 360 -->
  <si>
    <t>Dependency</t>
  </si>
  <!-- index 361 -->
  <si>
    <t>edges resolved</t>
  </si>
  <!-- index 362 -->
  <si>
    <t>per function spec</t>
  </si>
  <!-- index 363 -->
  <si>
    <t>ISRM-KPI-CYCLE</t>
  </si>
  <!-- index 364 -->
  <si>
    <t>Pilot cycle</t>
  </si>
  <!-- index 365 -->
  <si>
    <t>completed/quarter</t>
  </si>
  <!-- index 366 -->
  <si>
    <t>1 → 4</t>
  </si>
  <!-- index 367 -->
  <si>
    <t>T-1+</t>
  </si>
  <!-- index 368 -->
  <si>
    <t>ISRM-KPI-PUBLICATION</t>
  </si>
  <!-- index 369 -->
  <si>
    <t>Publication</t>
  </si>
  <!-- index 370 -->
  <si>
    <t>articles/cycle</t>
  </si>
  <!-- index 371 -->
  <si>
    <t>2 baseline</t>
  </si>
  <!-- index 372 -->
  <si>
    <t>ISRM-KPI-CONF</t>
  </si>
  <!-- index 373 -->
  <si>
    <t>Conference plan</t>
  </si>
  <!-- index 374 -->
  <si>
    <t>plan ready by cycle end</t>
  </si>
  <!-- index 375 -->
  <si>
    <t>yes/no</t>
  </si>
  <!-- index 376 -->
  <si>
    <t>ISRM-KPI-OSINT</t>
  </si>
  <!-- index 377 -->
  <si>
    <t>AI OSINT</t>
  </si>
  <!-- index 378 -->
  <si>
    <t>queries/cycle</t>
  </si>
  <!-- index 379 -->
  <si>
    <t>50 baseline</t>
  </si>
  <!-- index 380 -->
  <si>
    <t>T-3 only</t>
  </si>
  <!-- index 381 -->
  <si>
    <t>ISRM-KPI-CHATBOT</t>
  </si>
  <!-- index 382 -->
  <si>
    <t>AI chatbot</t>
  </si>
  <!-- index 383 -->
  <si>
    <t>interactions/user/session</t>
  </si>
  <!-- index 384 -->
  <si>
    <t>3 baseline</t>
  </si>
  <!-- index 385 -->
  <si>
    <t>ISRM-KPI-DASHBOARD</t>
  </si>
  <!-- index 386 -->
  <si>
    <t>Dashboards</t>
  </si>
  <!-- index 387 -->
  <si>
    <t>generated/cycle</t>
  </si>
  <!-- index 388 -->
  <si>
    <t>5 baseline</t>
  </si>
  <!-- index 389 -->
  <si>
    <t>ISRM-KPI-TII</t>
  </si>
  <!-- index 390 -->
  <si>
    <t>TII coverage</t>
  </si>
  <!-- index 391 -->
  <si>
    <t>measured at gate</t>
  </si>
  <!-- index 392 -->
  <si>
    <t>gate-conditioned</t>
  </si>
  <!-- index 393 -->
  <si>
    <t>T-3 · 2nd pass</t>
  </si>
  <!-- index 394 -->
  <si>
    <t>fee tiers T1 overlay</t>
  </si>
  <!-- index 395 -->
  <si>
    <t>Multiplier</t>
  </si>
  <!-- index 396 -->
  <si>
    <t>Description</t>
  </si>
  <!-- index 397 -->
  <si>
    <t>Capacity created (KPI)</t>
  </si>
  <!-- index 398 -->
  <si>
    <t>Go-no-go criterion</t>
  </si>
  <!-- index 399 -->
  <si>
    <t>ISRM-TIER-SELF</t>
  </si>
  <!-- index 400 -->
  <si>
    <t>T-1</t>
  </si>
  <!-- index 401 -->
  <si>
    <t>×1.0</t>
  </si>
  <!-- index 402 -->
  <si>
    <t>Self-serve</t>
  </si>
  <!-- index 403 -->
  <si>
    <t>ISRM-TIER-COPILOT</t>
  </si>
  <!-- index 404 -->
  <si>
    <t>T-2</t>
  </si>
  <!-- index 405 -->
  <si>
    <t>×1.5</t>
  </si>
  <!-- index 406 -->
  <si>
    <t>Co-pilot</t>
  </si>
  <!-- index 407 -->
  <si>
    <t>ISRM-TIER-OPERATE</t>
  </si>
  <!-- index 408 -->
  <si>
    <t>×2.0</t>
  </si>
  <!-- index 409 -->
  <si>
    <t>Operate</t>
  </si>
  <!-- index 410 -->
  <si>
    <t>Deliverables present, board sign-off</t>
  </si>
  <!-- index 411 -->
  <si>
    <t>+ 1-on-1 sessions, agenda approved by board</t>
  </si>
  <!-- index 412 -->
  <si>
    <t>+ publications, conference plan, AI features gate</t>
  </si>
  <!-- index 413 -->
  <si>
    <t>Multiplier applies to partner hours, not rate</t>
  </si>
  <!-- index 414 -->
  <si>
    <t>go-no-go per tier</t>
  </si>
  <!-- index 415 -->
  <si>
    <t>Go criterion</t>
  </si>
  <!-- index 416 -->
  <si>
    <t>No-go consequence</t>
  </si>
  <!-- index 417 -->
  <si>
    <t>Cycle incomplete, partner repeats at no extra fee</t>
  </si>
  <!-- index 418 -->
  <si>
    <t>Cycle pauses; partner waits for board</t>
  </si>
  <!-- index 419 -->
  <si>
    <t>Forward features deferred; partner keeps base cycle</t>
  </si>
  <!-- index 420 -->
  <si>
    <t>end</t>
  </si>
  <!-- index 421 -->
  <si>
    <t>T1</t>
  </si>
  <!-- index 422 -->
  <si>
    <t>T2</t>
  </si>
  <!-- index 423 -->
  <si>
    <t>T3</t>
  </si>
  <!-- index 424 -->
  <si>
    <t>T3/4</t>
  </si>
  <!-- index 425 -->
  <si>
    <t>T4</t>
  </si>
  <!-- index 426 -->
  <si>
    <t>T5</t>
  </si>
  <!-- index 427 -->
  <si>
    <t>ISRM-PILOT-LI-EMP</t>
  </si>
  <!-- index 428 -->
  <si>
    <t>ISRM-PILOT-LI-CO-SIZE</t>
  </si>
  <!-- index 429 -->
  <si>
    <t>ISRM-PILOT-LI-NO-FOLLOWERS-EXPORT</t>
  </si>
  <!-- index 430 -->
  <si>
    <t>Same CRM Dashboard file</t>
  </si>
  <!-- index 431 -->
  <si>
    <t>Page-level setting, NOT a member count</t>
  </si>
  <!-- index 432 -->
  <si>
    <t>No exportable follower list</t>
  </si>
  <!-- index 433 -->
  <si>
    <t>user-screenshot</t>
  </si>
  <!-- index 434 -->
  <si>
    <t>Lower band</t>
  </si>
  <!-- index 435 -->
  <si>
    <t>Upper band</t>
  </si>
  <!-- index 436 -->
  <si>
    <t>Source URLs</t>
  </si>
  <!-- index 437 -->
  <si>
    <t>Public benchmark anchors</t>
  </si>
  <!-- index 438 -->
  <si>
    <t>Note</t>
  </si>
  <!-- index 439 -->
  <si>
    <t>Open inputs (client/partner provide)</t>
  </si>
  <!-- index 440 -->
  <si>
    <t>Slot</t>
  </si>
  <!-- index 441 -->
  <si>
    <t>End</t>
  </si>
  <!-- index 442 -->
  <si>
    <t>rivaliq.com + bigeyeagency.com (see registry §7e.2)</t>
  </si>
  <!-- index 443 -->
  <si>
    <t>kirro.io + linkedin.com/pulse/...rossell-kqmof</t>
  </si>
  <!-- index 444 -->
  <si>
    <t>linkedin.com/pulse/...rossell-kqmof + aro.org/.../2024-Membership-Marketing-Benchmarking</t>
  </si>
  <!-- index 445 -->
  <si>
    <t>metricuno.com + firstpagesage.com</t>
  </si>
  <!-- index 446 -->
  <si>
    <t>assumption · conservative indicative · cross-referenced ≥ 2 sources</t>
  </si>
  <!-- index 447 -->
  <si>
    <t>assumption · conservative indicative · offer-specific</t>
  </si>
  <!-- index 448 -->
  <si>
    <t>assumption · conservative indicative · cross-referenced</t>
  </si>
  <!-- index 449 -->
  <si>
    <t>open · client input · awaiting client supply</t>
  </si>
  <!-- index 450 -->
  <si>
    <t>£240/year = £20/month anchor; partner override allowed</t>
  </si>
  <!-- index 451 -->
  <si>
    <t>ISRM-PILOT-LI-EMP note</t>
  </si>
  <!-- index 452 -->
  <si>
    <t>open</t>
  </si>
  <!-- index 453 -->
  <si>
    <t>awaiting client input</t>
  </si>
  <!-- index 454 -->
  <si>
    <t>Value (GBP/h)</t>
  </si>
  <!-- index 455 -->
  <si>
    <t>£240/year = £20/month anchor</t>
  </si>
  <!-- index 456 -->
  <si>
    <t>Pay base @ £37/h</t>
  </si>
  <!-- index 457 -->
  <si>
    <t>01</t>
  </si>
  <!-- index 458 -->
  <si>
    <t>02</t>
  </si>
  <!-- index 459 -->
  <si>
    <t>03</t>
  </si>
  <!-- index 460 -->
  <si>
    <t>04</t>
  </si>
  <!-- index 461 -->
  <si>
    <t>Σ modules</t>
  </si>
  <!-- index 462 -->
  <si>
    <t>Σ per partner (01-03)</t>
  </si>
  <!-- index 463 -->
  <si>
    <t>per-partner pay scenarios (registry §2+§3)</t>
  </si>
  <!-- index 464 -->
  <si>
    <t>Pay low @ £25/h</t>
  </si>
  <!-- index 465 -->
  <si>
    <t>Pay high @ £49/h</t>
  </si>
  <!-- index 466 -->
  <si>
    <t>Low T-1 (×1.0 £25/h)</t>
  </si>
  <!-- index 467 -->
  <si>
    <t>Base T-1 (×1.0 £37/h)</t>
  </si>
  <!-- index 468 -->
  <si>
    <t>High T-1 (×1.0 £49/h)</t>
  </si>
  <!-- index 469 -->
  <si>
    <t>Base T-2 (×1.5 £37/h)</t>
  </si>
  <!-- index 470 -->
  <si>
    <t>Base T-3 (×2.0 £37/h)</t>
  </si>
  <!-- index 471 -->
  <si>
    <t>01 Consulting</t>
  </si>
  <!-- index 472 -->
  <si>
    <t>02 MVP</t>
  </si>
  <!-- index 473 -->
  <si>
    <t>03 Pilot</t>
  </si>
  <!-- index 474 -->
  <si>
    <t>Σ 01-03 (T-1 base)</t>
  </si>
  <!-- index 475 -->
  <si>
    <t>Σ 01-03 (T-3, where applicable)</t>
  </si>
  <!-- index 476 -->
  <si>
    <t>Formula / derivation</t>
  </si>
  <!-- index 477 -->
  <si>
    <t>R1 · Reach → application</t>
  </si>
  <!-- index 478 -->
  <si>
    <t>R2 · Application → accepted</t>
  </si>
  <!-- index 479 -->
  <si>
    <t>R3 · Accepted → paid</t>
  </si>
  <!-- index 480 -->
  <si>
    <t>Annual subscription fee (client input)</t>
  </si>
  <!-- index 481 -->
  <si>
    <t>Funnel output — derived from inputs above</t>
  </si>
  <!-- index 482 -->
  <si>
    <t>Two revenue views — same funnel output, two multipliers</t>
  </si>
  <!-- index 483 -->
  <si>
    <t>Client view · subscription revenue (year 1)</t>
  </si>
  <!-- index 484 -->
  <si>
    <t>Partner view · SaaS revenue (year 1, conservative)</t>
  </si>
  <!-- index 485 -->
  <si>
    <t>snapshot 2026-08-28 · ISRM-PILOT-LI-FOLLOWERS verified</t>
  </si>
  <!-- index 486 -->
  <si>
    <t>ISRM-PILOT-CONV-R1-APP · 2.0% conservative</t>
  </si>
  <!-- index 487 -->
  <si>
    <t>ISRM-PILOT-CONV-R2-ACC · 30% conservative</t>
  </si>
  <!-- index 488 -->
  <si>
    <t>ISRM-PILOT-CONV-R3-PAID · 25% conservative</t>
  </si>
  <!-- index 489 -->
  <si>
    <t>ISRM-PILOT-SAAS-ENGAGE · 0.5% conservative</t>
  </si>
  <!-- index 490 -->
  <si>
    <t>ISRM-PILOT-SUB-FEE · awaiting client input</t>
  </si>
  <!-- index 491 -->
  <si>
    <t>ISRM-PILOT-SAAS-PRICE · £240/year anchor</t>
  </si>
  <!-- index 492 -->
  <si>
    <t>Reach × R1</t>
  </si>
  <!-- index 493 -->
  <si>
    <t>Applications × R2</t>
  </si>
  <!-- index 494 -->
  <si>
    <t>Accepted × R3</t>
  </si>
  <!-- index 495 -->
  <si>
    <t>Reach × saasEngage</t>
  </si>
  <!-- index 496 -->
  <si>
    <t>Paid members × subscription fee · 0 if fee not supplied</t>
  </si>
  <!-- index 497 -->
  <si>
    <t>Engaged users × SaaS price</t>
  </si>
  <!-- index 498 -->
  <si>
    <t>SaaS feasibility sensitivity (registry §7f)</t>
  </si>
  <!-- index 499 -->
  <si>
    <t>Implication tier</t>
  </si>
  <!-- index 500 -->
  <si>
    <t>Implication detail</t>
  </si>
  <!-- index 501 -->
  <si>
    <t>Verdict (registry §7f.3)</t>
  </si>
  <!-- index 502 -->
  <si>
    <t>Partner time (h)</t>
  </si>
  <!-- index 503 -->
  <si>
    <t>KPIs per function (registry §7c)</t>
  </si>
  <!-- index 504 -->
  <si>
    <t>1 conference participation</t>
  </si>
  <!-- index 505 -->
  <si>
    <t>18.5</t>
  </si>
  <!-- index 506 -->
  <si>
    <t>cycle count, publications, conferences</t>
  </si>
  <!-- index 507 -->
  <si>
    <t>T-1 + board approves agenda + cohort 2 measured + sessions held ≥ agreed</t>
  </si>
  <!-- index 508 -->
  <si>
    <t>T-2 + TII coverage measured + AI ethics approved</t>
  </si>
  <!-- index 509 --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</sst>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3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  <Relationship Id="rId10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32" customWidth="1"/>
    <col min="2" max="2" width="14" customWidth="1"/>
    <col min="3" max="3" width="32" customWidth="1"/>
    <col min="4" max="4" width="14" customWidth="1"/>
    <col min="5" max="5" width="60" customWidth="1"/>
    <col min="6" max="6" width="60" customWidth="1"/>
    <col min="7" max="7" width="10" customWidth="1"/>
    <col min="8" max="8" width="22" customWidth="1"/>
  </cols>
  <sheetData>
    <row r="1" ht="24" customHeight="1">
      <c r="A1" t="s" s="4">
        <v>0</v>
      </c>
    </row>
    <row r="2">
      <c r="A2" t="s" s="2">
        <v>1</v>
      </c>
      <c r="B2" t="s" s="1">
        <v>2</v>
      </c>
    </row>
    <row r="3">
      <c r="A3" t="s" s="2">
        <v>3</v>
      </c>
      <c r="B3" t="s" s="1">
        <v>4</v>
      </c>
    </row>
    <row r="4">
      <c r="A4" t="s" s="2">
        <v>5</v>
      </c>
    </row>
    <row r="5">
      <c r="A5" t="s" s="1">
        <v>6</v>
      </c>
    </row>
    <row r="6">
      <c r="A6" t="s" s="1">
        <v>7</v>
      </c>
    </row>
    <row r="7">
      <c r="A7" t="s" s="1">
        <v>8</v>
      </c>
    </row>
    <row r="8">
      <c r="A8" t="s" s="1">
        <v>9</v>
      </c>
    </row>
    <row r="9">
      <c r="A9" t="s" s="2">
        <v>10</v>
      </c>
    </row>
    <row r="10">
      <c r="A10" t="s" s="1">
        <v>11</v>
      </c>
    </row>
    <row r="11">
      <c r="A11" t="s" s="1">
        <v>12</v>
      </c>
    </row>
    <row r="12">
      <c r="A12" t="s" s="1">
        <v>13</v>
      </c>
    </row>
    <row r="13">
      <c r="A13" t="s" s="1">
        <v>14</v>
      </c>
    </row>
    <row r="14">
      <c r="A14" t="s" s="1">
        <v>15</v>
      </c>
    </row>
    <row r="16">
      <c r="A16" t="s" s="4">
        <v>24</v>
      </c>
    </row>
    <row r="17" ht="18" customHeight="1">
      <c r="A17" t="s" s="4">
        <v>16</v>
      </c>
      <c r="B17" t="s" s="4">
        <v>17</v>
      </c>
      <c r="C17" t="s" s="4">
        <v>18</v>
      </c>
      <c r="D17" t="s" s="4">
        <v>19</v>
      </c>
      <c r="E17" t="s" s="4">
        <v>20</v>
      </c>
      <c r="F17" t="s" s="4">
        <v>21</v>
      </c>
      <c r="G17" t="s" s="4">
        <v>22</v>
      </c>
      <c r="H17" t="s" s="4">
        <v>23</v>
      </c>
    </row>
    <row r="18">
      <c r="A18" t="s" s="2">
        <v>25</v>
      </c>
      <c r="B18" s="1">
        <v>66.4</v>
      </c>
      <c r="C18" t="s" s="2">
        <v>27</v>
      </c>
      <c r="D18" t="s" s="2">
        <v>28</v>
      </c>
      <c r="E18" t="s" s="2">
        <v>29</v>
      </c>
      <c r="F18" t="s" s="2">
        <v>30</v>
      </c>
      <c r="G18" t="s" s="2">
        <v>422</v>
      </c>
      <c r="H18" t="s" s="2">
        <v>6</v>
      </c>
    </row>
    <row r="19">
      <c r="A19" t="s" s="2">
        <v>31</v>
      </c>
      <c r="B19" s="1">
        <v>100.3</v>
      </c>
      <c r="C19" t="s" s="2">
        <v>33</v>
      </c>
      <c r="D19" t="s" s="2">
        <v>28</v>
      </c>
      <c r="E19" t="s" s="2">
        <v>34</v>
      </c>
      <c r="F19" t="s" s="2">
        <v>30</v>
      </c>
      <c r="G19" t="s" s="2">
        <v>422</v>
      </c>
      <c r="H19" t="s" s="2">
        <v>6</v>
      </c>
    </row>
    <row r="20">
      <c r="A20" t="s" s="2">
        <v>35</v>
      </c>
      <c r="B20" s="1">
        <v>37</v>
      </c>
      <c r="C20" t="s" s="2">
        <v>37</v>
      </c>
      <c r="D20" t="s" s="2">
        <v>38</v>
      </c>
      <c r="E20" t="s" s="2">
        <v>39</v>
      </c>
      <c r="F20" t="s" s="2">
        <v>40</v>
      </c>
      <c r="G20" t="s" s="2">
        <v>422</v>
      </c>
      <c r="H20" t="s" s="2">
        <v>8</v>
      </c>
    </row>
    <row r="21">
      <c r="A21" t="s" s="2">
        <v>41</v>
      </c>
      <c r="B21" s="1">
        <v>48.5</v>
      </c>
      <c r="C21" t="s" s="2">
        <v>43</v>
      </c>
      <c r="D21" t="s" s="2">
        <v>44</v>
      </c>
      <c r="E21" t="s" s="2">
        <v>45</v>
      </c>
      <c r="F21" t="s" s="2">
        <v>46</v>
      </c>
      <c r="G21" t="s" s="2">
        <v>425</v>
      </c>
      <c r="H21" t="s" s="2">
        <v>6</v>
      </c>
    </row>
    <row r="22">
      <c r="A22" t="s" s="2">
        <v>47</v>
      </c>
      <c r="B22" s="1">
        <v>100</v>
      </c>
      <c r="C22" t="s" s="2">
        <v>49</v>
      </c>
      <c r="D22" t="s" s="2">
        <v>50</v>
      </c>
      <c r="E22" t="s" s="2">
        <v>51</v>
      </c>
      <c r="F22" t="s" s="2">
        <v>52</v>
      </c>
      <c r="G22" t="s" s="2">
        <v>422</v>
      </c>
      <c r="H22" t="s" s="2">
        <v>7</v>
      </c>
    </row>
    <row r="23">
      <c r="A23" t="s" s="2">
        <v>53</v>
      </c>
      <c r="B23" s="1">
        <v>8742</v>
      </c>
      <c r="C23" t="s" s="2">
        <v>55</v>
      </c>
      <c r="D23" t="s" s="2">
        <v>56</v>
      </c>
      <c r="E23" t="s" s="2">
        <v>57</v>
      </c>
      <c r="F23" t="s" s="2">
        <v>58</v>
      </c>
      <c r="G23" t="s" s="2">
        <v>422</v>
      </c>
      <c r="H23" t="s" s="2">
        <v>6</v>
      </c>
    </row>
    <row r="24">
      <c r="A24" t="s" s="2">
        <v>428</v>
      </c>
      <c r="B24" s="1">
        <v>44</v>
      </c>
      <c r="C24" t="s" s="2">
        <v>60</v>
      </c>
      <c r="D24" t="s" s="2">
        <v>56</v>
      </c>
      <c r="E24" t="s" s="2">
        <v>431</v>
      </c>
      <c r="F24" t="s" s="2">
        <v>58</v>
      </c>
      <c r="G24" t="s" s="2">
        <v>422</v>
      </c>
      <c r="H24" t="s" s="2">
        <v>6</v>
      </c>
    </row>
    <row r="25">
      <c r="A25" t="s" s="2">
        <v>429</v>
      </c>
      <c r="B25" t="s" s="1">
        <v>61</v>
      </c>
      <c r="C25" t="s" s="2">
        <v>61</v>
      </c>
      <c r="D25" t="s" s="2">
        <v>56</v>
      </c>
      <c r="E25" t="s" s="2">
        <v>432</v>
      </c>
      <c r="F25" t="s" s="2">
        <v>58</v>
      </c>
      <c r="G25" t="s" s="2">
        <v>422</v>
      </c>
      <c r="H25" t="s" s="2">
        <v>6</v>
      </c>
    </row>
    <row r="26">
      <c r="A26" t="s" s="2">
        <v>430</v>
      </c>
      <c r="B26" t="s" s="1">
        <v>63</v>
      </c>
      <c r="C26" t="s" s="2">
        <v>63</v>
      </c>
      <c r="D26" t="s" s="2">
        <v>56</v>
      </c>
      <c r="E26" t="s" s="2">
        <v>433</v>
      </c>
      <c r="F26" t="s" s="2">
        <v>58</v>
      </c>
      <c r="G26" t="s" s="2">
        <v>422</v>
      </c>
      <c r="H26" t="s" s="2">
        <v>6</v>
      </c>
    </row>
    <row r="27">
      <c r="A27" t="s" s="2">
        <v>65</v>
      </c>
      <c r="B27" s="1">
        <v>11750</v>
      </c>
      <c r="C27" t="s" s="2">
        <v>67</v>
      </c>
      <c r="D27" t="s" s="2">
        <v>68</v>
      </c>
      <c r="E27" t="s" s="2">
        <v>69</v>
      </c>
      <c r="F27" t="s" s="2">
        <v>434</v>
      </c>
      <c r="G27" t="s" s="2">
        <v>427</v>
      </c>
      <c r="H27" t="s" s="2">
        <v>8</v>
      </c>
    </row>
    <row r="29">
      <c r="A29" t="s" s="4">
        <v>70</v>
      </c>
    </row>
    <row r="30" ht="18" customHeight="1">
      <c r="A30" t="s" s="4">
        <v>16</v>
      </c>
      <c r="B30" t="s" s="4">
        <v>72</v>
      </c>
      <c r="C30" t="s" s="4">
        <v>71</v>
      </c>
      <c r="D30" t="s" s="4">
        <v>435</v>
      </c>
      <c r="E30" t="s" s="4">
        <v>436</v>
      </c>
      <c r="F30" t="s" s="4">
        <v>438</v>
      </c>
      <c r="G30" t="s" s="4">
        <v>75</v>
      </c>
      <c r="H30" t="s" s="4">
        <v>437</v>
      </c>
    </row>
    <row r="31">
      <c r="A31" t="s" s="2">
        <v>76</v>
      </c>
      <c r="B31" s="7">
        <v>0.02</v>
      </c>
      <c r="C31" t="s" s="2">
        <v>78</v>
      </c>
      <c r="D31" s="7">
        <v>0.008</v>
      </c>
      <c r="E31" s="7">
        <v>0.05</v>
      </c>
      <c r="F31" t="s" s="2">
        <v>81</v>
      </c>
      <c r="G31" t="s" s="2">
        <v>82</v>
      </c>
      <c r="H31" t="s" s="2">
        <v>443</v>
      </c>
      <c r="I31" t="s" s="2">
        <v>427</v>
      </c>
      <c r="J31" t="s" s="2">
        <v>447</v>
      </c>
    </row>
    <row r="32">
      <c r="A32" t="s" s="2">
        <v>85</v>
      </c>
      <c r="B32" s="7">
        <v>0.3</v>
      </c>
      <c r="C32" t="s" s="2">
        <v>87</v>
      </c>
      <c r="D32" s="7">
        <v>0.15</v>
      </c>
      <c r="E32" s="7">
        <v>0.3</v>
      </c>
      <c r="F32" t="s" s="2">
        <v>89</v>
      </c>
      <c r="G32" t="s" s="2">
        <v>90</v>
      </c>
      <c r="H32" t="s" s="2">
        <v>444</v>
      </c>
      <c r="I32" t="s" s="2">
        <v>427</v>
      </c>
      <c r="J32" t="s" s="2">
        <v>447</v>
      </c>
    </row>
    <row r="33">
      <c r="A33" t="s" s="2">
        <v>93</v>
      </c>
      <c r="B33" s="7">
        <v>0.25</v>
      </c>
      <c r="C33" t="s" s="2">
        <v>95</v>
      </c>
      <c r="D33" s="7">
        <v>0.2</v>
      </c>
      <c r="E33" s="7">
        <v>0.3</v>
      </c>
      <c r="F33" t="s" s="2">
        <v>97</v>
      </c>
      <c r="G33" t="s" s="2">
        <v>98</v>
      </c>
      <c r="H33" t="s" s="2">
        <v>445</v>
      </c>
      <c r="I33" t="s" s="2">
        <v>427</v>
      </c>
      <c r="J33" t="s" s="2">
        <v>448</v>
      </c>
    </row>
    <row r="34">
      <c r="A34" t="s" s="2">
        <v>100</v>
      </c>
      <c r="B34" s="7">
        <v>0.005</v>
      </c>
      <c r="C34" t="s" s="2">
        <v>102</v>
      </c>
      <c r="D34" s="7">
        <v>0.002</v>
      </c>
      <c r="E34" s="7">
        <v>0.015</v>
      </c>
      <c r="F34" t="s" s="2">
        <v>105</v>
      </c>
      <c r="G34" t="s" s="2">
        <v>106</v>
      </c>
      <c r="H34" t="s" s="2">
        <v>446</v>
      </c>
      <c r="I34" t="s" s="2">
        <v>427</v>
      </c>
      <c r="J34" t="s" s="2">
        <v>447</v>
      </c>
    </row>
    <row r="36">
      <c r="A36" t="s" s="4">
        <v>440</v>
      </c>
    </row>
    <row r="37" ht="18" customHeight="1">
      <c r="A37" t="s" s="4">
        <v>16</v>
      </c>
      <c r="B37" t="s" s="4">
        <v>17</v>
      </c>
      <c r="C37" t="s" s="4">
        <v>18</v>
      </c>
      <c r="D37" t="s" s="4">
        <v>441</v>
      </c>
      <c r="E37" t="s" s="4">
        <v>439</v>
      </c>
      <c r="F37" t="s" s="4">
        <v>22</v>
      </c>
      <c r="G37" t="s" s="4">
        <v>23</v>
      </c>
    </row>
    <row r="38">
      <c r="A38" t="s" s="2">
        <v>109</v>
      </c>
      <c r="B38" s="1">
        <v>0</v>
      </c>
      <c r="C38" t="s" s="2">
        <v>112</v>
      </c>
      <c r="D38" t="s" s="2">
        <v>111</v>
      </c>
      <c r="E38" t="s" s="2">
        <v>450</v>
      </c>
      <c r="F38" t="s" s="2">
        <v>427</v>
      </c>
      <c r="G38" t="s" s="2">
        <v>453</v>
      </c>
    </row>
    <row r="39">
      <c r="A39" t="s" s="2">
        <v>115</v>
      </c>
      <c r="B39" s="1">
        <v>240</v>
      </c>
      <c r="C39" t="s" s="2">
        <v>118</v>
      </c>
      <c r="D39" t="s" s="2">
        <v>117</v>
      </c>
      <c r="E39" t="s" s="2">
        <v>451</v>
      </c>
      <c r="F39" t="s" s="2">
        <v>427</v>
      </c>
      <c r="G39" t="s" s="2">
        <v>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32" customWidth="1"/>
    <col min="2" max="2" width="12" customWidth="1"/>
    <col min="3" max="3" width="14" customWidth="1"/>
    <col min="4" max="4" width="14" customWidth="1"/>
    <col min="5" max="5" width="50" customWidth="1"/>
    <col min="6" max="6" width="14" customWidth="1"/>
  </cols>
  <sheetData>
    <row r="1" ht="22" customHeight="1">
      <c r="A1" t="s" s="4">
        <v>120</v>
      </c>
    </row>
    <row r="2" ht="18" customHeight="1">
      <c r="A2" t="s" s="4">
        <v>16</v>
      </c>
      <c r="B2" t="s" s="4">
        <v>455</v>
      </c>
      <c r="C2" t="s" s="4">
        <v>439</v>
      </c>
    </row>
    <row r="3">
      <c r="A3" t="s" s="2">
        <v>121</v>
      </c>
      <c r="B3" s="5">
        <v>25</v>
      </c>
      <c r="C3" t="s" s="2">
        <v>124</v>
      </c>
    </row>
    <row r="4">
      <c r="A4" t="s" s="2">
        <v>125</v>
      </c>
      <c r="B4" s="5">
        <v>37</v>
      </c>
      <c r="C4" t="s" s="2">
        <v>126</v>
      </c>
    </row>
    <row r="5">
      <c r="A5" t="s" s="2">
        <v>127</v>
      </c>
      <c r="B5" s="5">
        <v>49</v>
      </c>
      <c r="C5" t="s" s="2">
        <v>129</v>
      </c>
    </row>
    <row r="7" ht="22" customHeight="1">
      <c r="A7" t="s" s="4">
        <v>130</v>
      </c>
    </row>
    <row r="8" ht="18" customHeight="1">
      <c r="A8" t="s" s="4">
        <v>16</v>
      </c>
      <c r="B8" t="s" s="4">
        <v>131</v>
      </c>
      <c r="C8" t="s" s="4">
        <v>132</v>
      </c>
      <c r="D8" t="s" s="4">
        <v>133</v>
      </c>
      <c r="E8" t="s" s="4">
        <v>134</v>
      </c>
      <c r="F8" t="s" s="4">
        <v>457</v>
      </c>
    </row>
    <row r="9">
      <c r="A9" t="s" s="2">
        <v>136</v>
      </c>
      <c r="B9" t="s" s="2">
        <v>137</v>
      </c>
      <c r="C9" t="s" s="2">
        <v>459</v>
      </c>
      <c r="D9" t="s" s="2">
        <v>138</v>
      </c>
      <c r="E9" s="1">
        <v>16</v>
      </c>
      <c r="F9" s="6">
        <f>E9*37</f>
        <v>592</v>
      </c>
    </row>
    <row r="10">
      <c r="A10" t="s" s="2">
        <v>141</v>
      </c>
      <c r="B10" t="s" s="2">
        <v>142</v>
      </c>
      <c r="C10" t="s" s="2">
        <v>459</v>
      </c>
      <c r="D10" t="s" s="2">
        <v>143</v>
      </c>
      <c r="E10" s="1">
        <v>32</v>
      </c>
      <c r="F10" s="6">
        <f>E10*37</f>
        <v>1184</v>
      </c>
    </row>
    <row r="11">
      <c r="A11" t="s" s="2">
        <v>146</v>
      </c>
      <c r="B11" t="s" s="2">
        <v>147</v>
      </c>
      <c r="C11" t="s" s="2">
        <v>460</v>
      </c>
      <c r="D11" t="s" s="2">
        <v>143</v>
      </c>
      <c r="E11" s="1">
        <v>20</v>
      </c>
      <c r="F11" s="6">
        <f>E11*37</f>
        <v>740</v>
      </c>
    </row>
    <row r="12">
      <c r="A12" t="s" s="2">
        <v>149</v>
      </c>
      <c r="B12" t="s" s="2">
        <v>150</v>
      </c>
      <c r="C12" t="s" s="2">
        <v>460</v>
      </c>
      <c r="D12" t="s" s="2">
        <v>143</v>
      </c>
      <c r="E12" s="1">
        <v>16</v>
      </c>
      <c r="F12" s="6">
        <f>E12*37</f>
        <v>592</v>
      </c>
    </row>
    <row r="13">
      <c r="A13" t="s" s="2">
        <v>462</v>
      </c>
      <c r="E13" s="6">
        <f>SUM(E9:E12)</f>
        <v>84</v>
      </c>
      <c r="F13" s="6">
        <f>SUM(F9:F12)</f>
        <v>3108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40" customWidth="1"/>
    <col min="2" max="6" width="12" customWidth="1"/>
  </cols>
  <sheetData>
    <row r="1" ht="22" customHeight="1">
      <c r="A1" t="s" s="4">
        <v>151</v>
      </c>
    </row>
    <row r="2" ht="18" customHeight="1">
      <c r="A2" t="s" s="4">
        <v>152</v>
      </c>
      <c r="B2" t="s" s="4">
        <v>154</v>
      </c>
      <c r="C2" t="s" s="4">
        <v>155</v>
      </c>
      <c r="D2" t="s" s="4">
        <v>156</v>
      </c>
      <c r="E2" t="s" s="4">
        <v>157</v>
      </c>
    </row>
    <row r="3">
      <c r="A3" t="s" s="2">
        <v>158</v>
      </c>
      <c r="B3" s="1">
        <v>16</v>
      </c>
      <c r="C3" s="1">
        <v>8</v>
      </c>
      <c r="D3" s="1">
        <v>24</v>
      </c>
      <c r="E3" s="6">
        <f>SUM(B3:D3)</f>
        <v>48</v>
      </c>
    </row>
    <row r="4">
      <c r="A4" t="s" s="2">
        <v>162</v>
      </c>
      <c r="B4" s="1">
        <v>24</v>
      </c>
      <c r="C4" s="1">
        <v>40</v>
      </c>
      <c r="D4" s="1">
        <v>80</v>
      </c>
      <c r="E4" s="6">
        <f>SUM(B4:D4)</f>
        <v>144</v>
      </c>
    </row>
    <row r="5">
      <c r="A5" t="s" s="2">
        <v>166</v>
      </c>
      <c r="B5" s="1">
        <v>60</v>
      </c>
      <c r="C5" s="1">
        <v>80</v>
      </c>
      <c r="D5" s="1">
        <v>100</v>
      </c>
      <c r="E5" s="6">
        <f>SUM(B5:D5)</f>
        <v>240</v>
      </c>
    </row>
    <row r="6">
      <c r="A6" t="s" s="2">
        <v>168</v>
      </c>
      <c r="B6" s="1">
        <v>0</v>
      </c>
      <c r="C6" s="1">
        <v>0</v>
      </c>
      <c r="D6" s="1">
        <v>0</v>
      </c>
      <c r="E6" s="6">
        <f>SUM(B6:D6)</f>
        <v>0</v>
      </c>
    </row>
    <row r="7">
      <c r="A7" t="s" s="2">
        <v>463</v>
      </c>
      <c r="B7" s="6">
        <f>SUM(B3:B5)</f>
        <v>100</v>
      </c>
      <c r="C7" s="6">
        <f>SUM(C3:C5)</f>
        <v>128</v>
      </c>
      <c r="D7" s="6">
        <f>SUM(D3:D5)</f>
        <v>204</v>
      </c>
      <c r="E7" s="6">
        <f>SUM(E3:E5)</f>
        <v>432</v>
      </c>
    </row>
    <row r="10" ht="22" customHeight="1">
      <c r="A10" t="s" s="4">
        <v>464</v>
      </c>
    </row>
    <row r="11" ht="18" customHeight="1">
      <c r="A11" t="s" s="4">
        <v>175</v>
      </c>
      <c r="B11" t="s" s="4">
        <v>134</v>
      </c>
      <c r="C11" t="s" s="4">
        <v>465</v>
      </c>
      <c r="D11" t="s" s="4">
        <v>457</v>
      </c>
      <c r="E11" t="s" s="4">
        <v>466</v>
      </c>
    </row>
    <row r="12">
      <c r="A12" t="s" s="2">
        <v>180</v>
      </c>
      <c r="B12" s="1">
        <v>100</v>
      </c>
      <c r="C12" s="6">
        <f>B12*25</f>
        <v>2500</v>
      </c>
      <c r="D12" s="6">
        <f>B12*37</f>
        <v>3700</v>
      </c>
      <c r="E12" s="6">
        <f>B12*49</f>
        <v>4900</v>
      </c>
    </row>
    <row r="13">
      <c r="A13" t="s" s="2">
        <v>184</v>
      </c>
      <c r="B13" s="1">
        <v>128</v>
      </c>
      <c r="C13" s="6">
        <f>B13*25</f>
        <v>3200</v>
      </c>
      <c r="D13" s="6">
        <f>B13*37</f>
        <v>4736</v>
      </c>
      <c r="E13" s="6">
        <f>B13*49</f>
        <v>6272</v>
      </c>
    </row>
    <row r="14">
      <c r="A14" t="s" s="2">
        <v>188</v>
      </c>
      <c r="B14" s="1">
        <v>204</v>
      </c>
      <c r="C14" s="6">
        <f>B14*25</f>
        <v>5100</v>
      </c>
      <c r="D14" s="6">
        <f>B14*37</f>
        <v>7548</v>
      </c>
      <c r="E14" s="6">
        <f>B14*49</f>
        <v>9996</v>
      </c>
    </row>
    <row r="15">
      <c r="A15" t="s" s="2">
        <v>179</v>
      </c>
      <c r="B15" s="6">
        <f>SUM(B12:B14)</f>
        <v>432</v>
      </c>
      <c r="C15" s="6">
        <f>SUM(C12:C14)</f>
        <v>10800</v>
      </c>
      <c r="D15" s="6">
        <f>SUM(D12:D14)</f>
        <v>15984</v>
      </c>
      <c r="E15" s="6">
        <f>SUM(E12:E14)</f>
        <v>21168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40" customWidth="1"/>
    <col min="2" max="6" width="14" customWidth="1"/>
  </cols>
  <sheetData>
    <row r="1" ht="22" customHeight="1">
      <c r="A1" t="s" s="4">
        <v>195</v>
      </c>
    </row>
    <row r="2" ht="18" customHeight="1">
      <c r="A2" t="s" s="4">
        <v>132</v>
      </c>
      <c r="B2" t="s" s="4">
        <v>467</v>
      </c>
      <c r="C2" t="s" s="4">
        <v>468</v>
      </c>
      <c r="D2" t="s" s="4">
        <v>469</v>
      </c>
      <c r="E2" t="s" s="4">
        <v>470</v>
      </c>
      <c r="F2" t="s" s="4">
        <v>471</v>
      </c>
    </row>
    <row r="3">
      <c r="A3" t="s" s="2">
        <v>472</v>
      </c>
      <c r="B3" s="6">
        <f>'Hours &amp; Pay'!E3*25</f>
        <v/>
      </c>
      <c r="C3" s="6">
        <f>'Hours &amp; Pay'!E3*37</f>
        <v/>
      </c>
      <c r="D3" s="6">
        <f>'Hours &amp; Pay'!E3*49</f>
        <v/>
      </c>
      <c r="E3" s="6">
        <f>'Hours &amp; Pay'!E3*37*1.5</f>
        <v/>
      </c>
      <c r="F3" s="6">
        <f>'Hours &amp; Pay'!E3*37*2.0</f>
        <v/>
      </c>
    </row>
    <row r="4">
      <c r="A4" t="s" s="2">
        <v>473</v>
      </c>
      <c r="B4" s="6">
        <f>'Hours &amp; Pay'!E4*25</f>
        <v/>
      </c>
      <c r="C4" s="6">
        <f>'Hours &amp; Pay'!E4*37</f>
        <v/>
      </c>
      <c r="D4" s="6">
        <f>'Hours &amp; Pay'!E4*49</f>
        <v/>
      </c>
      <c r="E4" s="6">
        <f>'Hours &amp; Pay'!E4*37*1.5</f>
        <v/>
      </c>
      <c r="F4" t="s" s="2">
        <v>210</v>
      </c>
    </row>
    <row r="5">
      <c r="A5" t="s" s="2">
        <v>474</v>
      </c>
      <c r="B5" s="6">
        <f>'Hours &amp; Pay'!E5*25</f>
        <v/>
      </c>
      <c r="C5" s="6">
        <f>'Hours &amp; Pay'!E5*37</f>
        <v/>
      </c>
      <c r="D5" s="6">
        <f>'Hours &amp; Pay'!E5*49</f>
        <v/>
      </c>
      <c r="E5" s="6">
        <f>'Hours &amp; Pay'!E5*37*1.5</f>
        <v/>
      </c>
      <c r="F5" s="6">
        <f>'Hours &amp; Pay'!E5*37*2.0</f>
        <v/>
      </c>
    </row>
    <row r="6">
      <c r="A6" t="s" s="2">
        <v>475</v>
      </c>
      <c r="B6" s="6">
        <f>SUM(B3:B5)</f>
        <v>10800</v>
      </c>
      <c r="C6" s="6">
        <f>SUM(C3:C5)</f>
        <v>15984</v>
      </c>
      <c r="D6" s="6">
        <f>SUM(D3:D5)</f>
        <v>21168</v>
      </c>
      <c r="E6" t="s" s="2">
        <v>210</v>
      </c>
      <c r="F6" t="s" s="2">
        <v>210</v>
      </c>
    </row>
    <row r="7">
      <c r="A7" t="s" s="2">
        <v>217</v>
      </c>
      <c r="B7" t="s" s="2">
        <v>210</v>
      </c>
      <c r="C7" t="s" s="2">
        <v>210</v>
      </c>
      <c r="D7" t="s" s="2">
        <v>210</v>
      </c>
      <c r="E7" s="6">
        <f>SUM(E3:E5)</f>
        <v>23976.0</v>
      </c>
      <c r="F7" t="s" s="2">
        <v>210</v>
      </c>
    </row>
    <row r="8">
      <c r="A8" t="s" s="2">
        <v>476</v>
      </c>
      <c r="B8" t="s" s="2">
        <v>210</v>
      </c>
      <c r="C8" t="s" s="2">
        <v>210</v>
      </c>
      <c r="D8" t="s" s="2">
        <v>210</v>
      </c>
      <c r="E8" t="s" s="2">
        <v>210</v>
      </c>
      <c r="F8" s="6">
        <f>F3+F5</f>
        <v>21312.0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40" customWidth="1"/>
    <col min="2" max="2" width="14" customWidth="1"/>
    <col min="3" max="3" width="50" customWidth="1"/>
  </cols>
  <sheetData>
    <row r="1" ht="22" customHeight="1">
      <c r="A1" t="s" s="4">
        <v>221</v>
      </c>
    </row>
    <row r="2" ht="18" customHeight="1">
      <c r="A2" t="s" s="4">
        <v>222</v>
      </c>
      <c r="B2" t="s" s="4">
        <v>17</v>
      </c>
      <c r="C2" t="s" s="4">
        <v>477</v>
      </c>
    </row>
    <row r="3">
      <c r="A3" t="s" s="2">
        <v>224</v>
      </c>
      <c r="B3" s="1">
        <v>8742</v>
      </c>
      <c r="C3" t="s" s="2">
        <v>486</v>
      </c>
    </row>
    <row r="4">
      <c r="A4" t="s" s="2">
        <v>478</v>
      </c>
      <c r="B4" s="7">
        <v>0.02</v>
      </c>
      <c r="C4" t="s" s="2">
        <v>487</v>
      </c>
    </row>
    <row r="5">
      <c r="A5" t="s" s="2">
        <v>479</v>
      </c>
      <c r="B5" s="7">
        <v>0.3</v>
      </c>
      <c r="C5" t="s" s="2">
        <v>488</v>
      </c>
    </row>
    <row r="6">
      <c r="A6" t="s" s="2">
        <v>480</v>
      </c>
      <c r="B6" s="7">
        <v>0.25</v>
      </c>
      <c r="C6" t="s" s="2">
        <v>489</v>
      </c>
    </row>
    <row r="7">
      <c r="A7" t="s" s="2">
        <v>102</v>
      </c>
      <c r="B7" s="7">
        <v>0.005</v>
      </c>
      <c r="C7" t="s" s="2">
        <v>490</v>
      </c>
    </row>
    <row r="8">
      <c r="A8" t="s" s="2">
        <v>481</v>
      </c>
      <c r="B8" s="5">
        <v>100</v>
      </c>
      <c r="C8" t="s" s="2">
        <v>491</v>
      </c>
    </row>
    <row r="9">
      <c r="A9" t="s" s="2">
        <v>117</v>
      </c>
      <c r="B9" s="5">
        <v>240</v>
      </c>
      <c r="C9" t="s" s="2">
        <v>492</v>
      </c>
    </row>
    <row r="11" ht="20" customHeight="1">
      <c r="A11" t="s" s="4">
        <v>482</v>
      </c>
    </row>
    <row r="12">
      <c r="A12" t="s" s="2">
        <v>231</v>
      </c>
      <c r="B12" s="6">
        <f>ROUND(B3*B4,0)</f>
        <v>175.0</v>
      </c>
      <c r="C12" t="s" s="2">
        <v>493</v>
      </c>
    </row>
    <row r="13">
      <c r="A13" t="s" s="2">
        <v>232</v>
      </c>
      <c r="B13" s="6">
        <f>ROUND(B12*B5,0)</f>
        <v>52.0</v>
      </c>
      <c r="C13" t="s" s="2">
        <v>494</v>
      </c>
    </row>
    <row r="14">
      <c r="A14" t="s" s="2">
        <v>233</v>
      </c>
      <c r="B14" s="6">
        <f>ROUND(B13*B6,0)</f>
        <v>13.0</v>
      </c>
      <c r="C14" t="s" s="2">
        <v>495</v>
      </c>
    </row>
    <row r="15">
      <c r="A15" t="s" s="2">
        <v>234</v>
      </c>
      <c r="B15" s="6">
        <f>ROUND(B3*B7,0)</f>
        <v>44.0</v>
      </c>
      <c r="C15" t="s" s="2">
        <v>496</v>
      </c>
    </row>
    <row r="17" ht="20" customHeight="1">
      <c r="A17" t="s" s="4">
        <v>483</v>
      </c>
    </row>
    <row r="18">
      <c r="A18" t="s" s="2">
        <v>484</v>
      </c>
      <c r="B18" s="6">
        <f>IF(B8&gt;0,B14*B8,0)</f>
        <v>1300</v>
      </c>
      <c r="C18" t="s" s="2">
        <v>497</v>
      </c>
    </row>
    <row r="19">
      <c r="A19" t="s" s="2">
        <v>485</v>
      </c>
      <c r="B19" s="6">
        <f>B15*B9</f>
        <v>10560.0</v>
      </c>
      <c r="C19" t="s" s="2">
        <v>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16" customWidth="1"/>
    <col min="2" max="2" width="12" customWidth="1"/>
    <col min="3" max="3" width="12" customWidth="1"/>
    <col min="4" max="4" width="14" customWidth="1"/>
    <col min="5" max="5" width="20" customWidth="1"/>
    <col min="6" max="6" width="60" customWidth="1"/>
  </cols>
  <sheetData>
    <row r="1" ht="22" customHeight="1">
      <c r="A1" t="s" s="4">
        <v>499</v>
      </c>
    </row>
    <row r="2" ht="18" customHeight="1">
      <c r="A2" t="s" s="4">
        <v>243</v>
      </c>
      <c r="B2" t="s" s="4">
        <v>244</v>
      </c>
      <c r="C2" t="s" s="4">
        <v>245</v>
      </c>
      <c r="D2" t="s" s="4">
        <v>246</v>
      </c>
      <c r="E2" t="s" s="4">
        <v>500</v>
      </c>
      <c r="F2" t="s" s="4">
        <v>501</v>
      </c>
    </row>
    <row r="3">
      <c r="A3" s="1">
        <v>8742</v>
      </c>
      <c r="B3" s="7">
        <v>0.005</v>
      </c>
      <c r="C3" s="5">
        <v>240</v>
      </c>
      <c r="D3" s="6">
        <f>A3*B3*C3</f>
        <v>10490.4</v>
      </c>
      <c r="E3" t="s" s="2">
        <v>249</v>
      </c>
      <c r="F3" t="s" s="2">
        <v>250</v>
      </c>
    </row>
    <row r="4">
      <c r="A4" s="1">
        <v>8742</v>
      </c>
      <c r="B4" s="7">
        <v>0.02</v>
      </c>
      <c r="C4" s="5">
        <v>240</v>
      </c>
      <c r="D4" s="6">
        <f>A4*B4*C4</f>
        <v>41961.6</v>
      </c>
      <c r="E4" t="s" s="2">
        <v>252</v>
      </c>
      <c r="F4" t="s" s="2">
        <v>253</v>
      </c>
    </row>
    <row r="5">
      <c r="A5" s="1">
        <v>8742</v>
      </c>
      <c r="B5" s="7">
        <v>0.005</v>
      </c>
      <c r="C5" s="5">
        <v>1200</v>
      </c>
      <c r="D5" s="6">
        <f>A5*B5*C5</f>
        <v>52452.0</v>
      </c>
      <c r="E5" t="s" s="2">
        <v>252</v>
      </c>
      <c r="F5" t="s" s="2">
        <v>255</v>
      </c>
    </row>
    <row r="6">
      <c r="A6" s="1">
        <v>50000</v>
      </c>
      <c r="B6" s="7">
        <v>0.005</v>
      </c>
      <c r="C6" s="5">
        <v>240</v>
      </c>
      <c r="D6" s="6">
        <f>A6*B6*C6</f>
        <v>60000.0</v>
      </c>
      <c r="E6" t="s" s="2">
        <v>252</v>
      </c>
      <c r="F6" t="s" s="2">
        <v>259</v>
      </c>
    </row>
    <row r="7">
      <c r="A7" s="1">
        <v>50000</v>
      </c>
      <c r="B7" s="7">
        <v>0.02</v>
      </c>
      <c r="C7" s="5">
        <v>240</v>
      </c>
      <c r="D7" s="6">
        <f>A7*B7*C7</f>
        <v>240000.0</v>
      </c>
      <c r="E7" t="s" s="2">
        <v>261</v>
      </c>
      <c r="F7" t="s" s="2">
        <v>262</v>
      </c>
    </row>
    <row r="8">
      <c r="A8" s="1">
        <v>50000</v>
      </c>
      <c r="B8" s="7">
        <v>0.05</v>
      </c>
      <c r="C8" s="5">
        <v>600</v>
      </c>
      <c r="D8" s="6">
        <f>A8*B8*C8</f>
        <v>1500000.0</v>
      </c>
      <c r="E8" t="s" s="2">
        <v>265</v>
      </c>
      <c r="F8" t="s" s="2">
        <v>266</v>
      </c>
    </row>
    <row r="11" ht="22" customHeight="1">
      <c r="A11" t="s" s="4">
        <v>502</v>
      </c>
    </row>
    <row r="12">
      <c r="A12" t="s" s="2">
        <v>268</v>
      </c>
    </row>
    <row r="13">
      <c r="A13" t="s" s="2">
        <v>269</v>
      </c>
    </row>
    <row r="14">
      <c r="A14" t="s" s="2">
        <v>270</v>
      </c>
    </row>
    <row r="15">
      <c r="A15" t="s" s="2">
        <v>271</v>
      </c>
    </row>
    <row r="16">
      <c r="A16" t="s" s="2">
        <v>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32" customWidth="1"/>
    <col min="2" max="2" width="20" customWidth="1"/>
    <col min="3" max="3" width="60" customWidth="1"/>
  </cols>
  <sheetData>
    <row r="1" ht="22" customHeight="1">
      <c r="A1" t="s" s="4">
        <v>273</v>
      </c>
    </row>
    <row r="2" ht="18" customHeight="1">
      <c r="A2" t="s" s="4">
        <v>16</v>
      </c>
      <c r="B2" t="s" s="4">
        <v>17</v>
      </c>
      <c r="C2" t="s" s="4">
        <v>397</v>
      </c>
    </row>
    <row r="3">
      <c r="A3" t="s" s="2">
        <v>275</v>
      </c>
      <c r="B3" t="s" s="1">
        <v>276</v>
      </c>
      <c r="C3" t="s" s="2">
        <v>277</v>
      </c>
    </row>
    <row r="4">
      <c r="A4" t="s" s="2">
        <v>278</v>
      </c>
      <c r="B4" t="s" s="1">
        <v>279</v>
      </c>
      <c r="C4" t="s" s="2">
        <v>280</v>
      </c>
    </row>
    <row r="5">
      <c r="A5" t="s" s="2">
        <v>281</v>
      </c>
      <c r="B5" t="s" s="1">
        <v>282</v>
      </c>
      <c r="C5" t="s" s="2">
        <v>283</v>
      </c>
    </row>
    <row r="6">
      <c r="A6" t="s" s="2">
        <v>284</v>
      </c>
      <c r="B6" t="s" s="1">
        <v>285</v>
      </c>
      <c r="C6" t="s" s="2">
        <v>286</v>
      </c>
    </row>
    <row r="7">
      <c r="A7" t="s" s="2">
        <v>287</v>
      </c>
      <c r="B7" t="s" s="1">
        <v>288</v>
      </c>
      <c r="C7" t="s" s="2">
        <v>289</v>
      </c>
    </row>
    <row r="10" ht="22" customHeight="1">
      <c r="A10" t="s" s="4">
        <v>290</v>
      </c>
    </row>
    <row r="11" ht="18" customHeight="1">
      <c r="A11" t="s" s="4">
        <v>16</v>
      </c>
      <c r="B11" t="s" s="4">
        <v>291</v>
      </c>
      <c r="C11" t="s" s="4">
        <v>292</v>
      </c>
    </row>
    <row r="12">
      <c r="A12" t="s" s="2">
        <v>293</v>
      </c>
      <c r="B12" t="s" s="2">
        <v>294</v>
      </c>
      <c r="C12" t="s" s="2">
        <v>295</v>
      </c>
    </row>
    <row r="13">
      <c r="A13" t="s" s="2">
        <v>296</v>
      </c>
      <c r="B13" t="s" s="2">
        <v>297</v>
      </c>
      <c r="C13" t="s" s="2">
        <v>295</v>
      </c>
    </row>
    <row r="14">
      <c r="A14" t="s" s="2">
        <v>298</v>
      </c>
      <c r="B14" t="s" s="2">
        <v>299</v>
      </c>
      <c r="C14" t="s" s="2">
        <v>295</v>
      </c>
    </row>
    <row r="15">
      <c r="A15" t="s" s="2">
        <v>300</v>
      </c>
      <c r="B15" t="s" s="2">
        <v>301</v>
      </c>
      <c r="C15" t="s" s="2">
        <v>302</v>
      </c>
    </row>
    <row r="16">
      <c r="A16" t="s" s="2">
        <v>303</v>
      </c>
      <c r="B16" t="s" s="2">
        <v>304</v>
      </c>
      <c r="C16" t="s" s="2">
        <v>305</v>
      </c>
    </row>
    <row r="17">
      <c r="A17" t="s" s="2">
        <v>306</v>
      </c>
      <c r="B17" t="s" s="2">
        <v>307</v>
      </c>
      <c r="C17" t="s" s="2">
        <v>308</v>
      </c>
    </row>
    <row r="18">
      <c r="A18" t="s" s="2">
        <v>309</v>
      </c>
      <c r="B18" t="s" s="2">
        <v>310</v>
      </c>
      <c r="C18" t="s" s="2">
        <v>311</v>
      </c>
    </row>
    <row r="19">
      <c r="A19" t="s" s="2">
        <v>312</v>
      </c>
      <c r="B19" t="s" s="2">
        <v>313</v>
      </c>
      <c r="C19" t="s" s="2">
        <v>311</v>
      </c>
    </row>
    <row r="20">
      <c r="A20" t="s" s="2">
        <v>314</v>
      </c>
      <c r="B20" t="s" s="2">
        <v>315</v>
      </c>
      <c r="C20" t="s" s="2">
        <v>311</v>
      </c>
    </row>
    <row r="21">
      <c r="A21" t="s" s="2">
        <v>316</v>
      </c>
      <c r="B21" t="s" s="2">
        <v>317</v>
      </c>
      <c r="C21" t="s" s="2">
        <v>311</v>
      </c>
    </row>
    <row r="22">
      <c r="A22" t="s" s="2">
        <v>318</v>
      </c>
      <c r="B22" t="s" s="2">
        <v>319</v>
      </c>
      <c r="C22" t="s" s="2">
        <v>311</v>
      </c>
    </row>
    <row r="23">
      <c r="A23" t="s" s="2">
        <v>320</v>
      </c>
      <c r="B23" t="s" s="2">
        <v>321</v>
      </c>
      <c r="C23" t="s" s="2">
        <v>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32" customWidth="1"/>
    <col min="2" max="2" width="24" customWidth="1"/>
    <col min="3" max="3" width="14" customWidth="1"/>
    <col min="4" max="4" width="14" customWidth="1"/>
    <col min="5" max="5" width="14" customWidth="1"/>
    <col min="6" max="6" width="14" customWidth="1"/>
  </cols>
  <sheetData>
    <row r="1" ht="22" customHeight="1">
      <c r="A1" t="s" s="4">
        <v>322</v>
      </c>
    </row>
    <row r="2" ht="18" customHeight="1">
      <c r="A2" t="s" s="4">
        <v>16</v>
      </c>
      <c r="B2" t="s" s="4">
        <v>323</v>
      </c>
      <c r="C2" t="s" s="4">
        <v>503</v>
      </c>
      <c r="D2" t="s" s="4">
        <v>325</v>
      </c>
      <c r="E2" t="s" s="4">
        <v>326</v>
      </c>
    </row>
    <row r="3">
      <c r="A3" t="s" s="2">
        <v>327</v>
      </c>
      <c r="B3" t="s" s="2">
        <v>328</v>
      </c>
      <c r="C3" t="s" s="1">
        <v>329</v>
      </c>
      <c r="D3" t="s" s="1">
        <v>506</v>
      </c>
      <c r="E3" t="s" s="2">
        <v>331</v>
      </c>
    </row>
    <row r="4">
      <c r="A4" t="s" s="2">
        <v>332</v>
      </c>
      <c r="B4" t="s" s="2">
        <v>333</v>
      </c>
      <c r="C4" t="s" s="1">
        <v>334</v>
      </c>
      <c r="D4" t="s" s="1">
        <v>335</v>
      </c>
      <c r="E4" t="s" s="2">
        <v>336</v>
      </c>
    </row>
    <row r="5">
      <c r="A5" t="s" s="2">
        <v>337</v>
      </c>
      <c r="B5" t="s" s="2">
        <v>338</v>
      </c>
      <c r="C5" t="s" s="1">
        <v>110</v>
      </c>
      <c r="D5" t="s" s="1">
        <v>110</v>
      </c>
      <c r="E5" t="s" s="2">
        <v>339</v>
      </c>
    </row>
    <row r="6">
      <c r="A6" t="s" s="2">
        <v>340</v>
      </c>
      <c r="B6" t="s" s="2">
        <v>341</v>
      </c>
      <c r="C6" t="s" s="1">
        <v>342</v>
      </c>
      <c r="D6" t="s" s="1">
        <v>343</v>
      </c>
      <c r="E6" t="s" s="2">
        <v>331</v>
      </c>
    </row>
    <row r="7">
      <c r="A7" t="s" s="2">
        <v>344</v>
      </c>
      <c r="B7" t="s" s="2">
        <v>505</v>
      </c>
      <c r="C7" t="s" s="1">
        <v>334</v>
      </c>
      <c r="D7" t="s" s="1">
        <v>335</v>
      </c>
      <c r="E7" t="s" s="2">
        <v>336</v>
      </c>
    </row>
    <row r="8">
      <c r="A8" t="s" s="2">
        <v>346</v>
      </c>
      <c r="B8" t="s" s="2">
        <v>347</v>
      </c>
      <c r="C8" t="s" s="1">
        <v>329</v>
      </c>
      <c r="D8" t="s" s="1">
        <v>506</v>
      </c>
      <c r="E8" t="s" s="2">
        <v>348</v>
      </c>
    </row>
    <row r="11" ht="22" customHeight="1">
      <c r="A11" t="s" s="4">
        <v>395</v>
      </c>
    </row>
    <row r="12" ht="18" customHeight="1">
      <c r="A12" t="s" s="4">
        <v>16</v>
      </c>
      <c r="B12" t="s" s="4">
        <v>22</v>
      </c>
      <c r="C12" t="s" s="4">
        <v>396</v>
      </c>
      <c r="D12" t="s" s="4">
        <v>397</v>
      </c>
      <c r="E12" t="s" s="4">
        <v>398</v>
      </c>
    </row>
    <row r="13">
      <c r="A13" t="s" s="2">
        <v>400</v>
      </c>
      <c r="B13" t="s" s="2">
        <v>401</v>
      </c>
      <c r="C13" t="s" s="2">
        <v>402</v>
      </c>
      <c r="D13" t="s" s="2">
        <v>403</v>
      </c>
      <c r="E13" t="s" s="2">
        <v>507</v>
      </c>
    </row>
    <row r="14">
      <c r="A14" t="s" s="2">
        <v>404</v>
      </c>
      <c r="B14" t="s" s="2">
        <v>405</v>
      </c>
      <c r="C14" t="s" s="2">
        <v>406</v>
      </c>
      <c r="D14" t="s" s="2">
        <v>407</v>
      </c>
      <c r="E14" t="s" s="2">
        <v>412</v>
      </c>
    </row>
    <row r="15">
      <c r="A15" t="s" s="2">
        <v>408</v>
      </c>
      <c r="B15" t="s" s="2">
        <v>348</v>
      </c>
      <c r="C15" t="s" s="2">
        <v>409</v>
      </c>
      <c r="D15" t="s" s="2">
        <v>410</v>
      </c>
      <c r="E15" t="s" s="2">
        <v>413</v>
      </c>
    </row>
    <row r="17" ht="22" customHeight="1">
      <c r="A17" t="s" s="4">
        <v>415</v>
      </c>
    </row>
    <row r="18" ht="18" customHeight="1">
      <c r="A18" t="s" s="4">
        <v>22</v>
      </c>
      <c r="B18" t="s" s="4">
        <v>416</v>
      </c>
      <c r="C18" t="s" s="4">
        <v>417</v>
      </c>
    </row>
    <row r="19">
      <c r="A19" t="s" s="2">
        <v>401</v>
      </c>
      <c r="B19" t="s" s="2">
        <v>411</v>
      </c>
      <c r="C19" t="s" s="2">
        <v>418</v>
      </c>
    </row>
    <row r="20">
      <c r="A20" t="s" s="2">
        <v>405</v>
      </c>
      <c r="B20" t="s" s="2">
        <v>508</v>
      </c>
      <c r="C20" t="s" s="2">
        <v>419</v>
      </c>
    </row>
    <row r="21">
      <c r="A21" t="s" s="2">
        <v>348</v>
      </c>
      <c r="B21" t="s" s="2">
        <v>509</v>
      </c>
      <c r="C21" t="s" s="2">
        <v>420</v>
      </c>
    </row>
    <row r="23" ht="22" customHeight="1">
      <c r="A23" t="s" s="4">
        <v>504</v>
      </c>
    </row>
    <row r="24" ht="18" customHeight="1">
      <c r="A24" t="s" s="4">
        <v>16</v>
      </c>
      <c r="B24" t="s" s="4">
        <v>349</v>
      </c>
      <c r="C24" t="s" s="4">
        <v>350</v>
      </c>
      <c r="D24" t="s" s="4">
        <v>351</v>
      </c>
      <c r="E24" t="s" s="4">
        <v>352</v>
      </c>
    </row>
    <row r="25">
      <c r="A25" t="s" s="2">
        <v>353</v>
      </c>
      <c r="B25" t="s" s="2">
        <v>137</v>
      </c>
      <c r="C25" t="s" s="2">
        <v>354</v>
      </c>
      <c r="D25" t="s" s="2">
        <v>355</v>
      </c>
      <c r="E25" t="s" s="2">
        <v>356</v>
      </c>
    </row>
    <row r="26">
      <c r="A26" t="s" s="2">
        <v>357</v>
      </c>
      <c r="B26" t="s" s="2">
        <v>142</v>
      </c>
      <c r="C26" t="s" s="2">
        <v>358</v>
      </c>
      <c r="D26" t="s" s="2">
        <v>359</v>
      </c>
      <c r="E26" t="s" s="2">
        <v>356</v>
      </c>
    </row>
    <row r="27">
      <c r="A27" t="s" s="2">
        <v>360</v>
      </c>
      <c r="B27" t="s" s="2">
        <v>361</v>
      </c>
      <c r="C27" t="s" s="2">
        <v>362</v>
      </c>
      <c r="D27" t="s" s="2">
        <v>363</v>
      </c>
      <c r="E27" t="s" s="2">
        <v>356</v>
      </c>
    </row>
    <row r="28">
      <c r="A28" t="s" s="2">
        <v>364</v>
      </c>
      <c r="B28" t="s" s="2">
        <v>365</v>
      </c>
      <c r="C28" t="s" s="2">
        <v>366</v>
      </c>
      <c r="D28" t="s" s="2">
        <v>367</v>
      </c>
      <c r="E28" t="s" s="2">
        <v>368</v>
      </c>
    </row>
    <row r="29">
      <c r="A29" t="s" s="2">
        <v>369</v>
      </c>
      <c r="B29" t="s" s="2">
        <v>370</v>
      </c>
      <c r="C29" t="s" s="2">
        <v>371</v>
      </c>
      <c r="D29" t="s" s="2">
        <v>372</v>
      </c>
      <c r="E29" t="s" s="2">
        <v>336</v>
      </c>
    </row>
    <row r="30">
      <c r="A30" t="s" s="2">
        <v>373</v>
      </c>
      <c r="B30" t="s" s="2">
        <v>374</v>
      </c>
      <c r="C30" t="s" s="2">
        <v>375</v>
      </c>
      <c r="D30" t="s" s="2">
        <v>376</v>
      </c>
      <c r="E30" t="s" s="2">
        <v>336</v>
      </c>
    </row>
    <row r="31">
      <c r="A31" t="s" s="2">
        <v>377</v>
      </c>
      <c r="B31" t="s" s="2">
        <v>378</v>
      </c>
      <c r="C31" t="s" s="2">
        <v>379</v>
      </c>
      <c r="D31" t="s" s="2">
        <v>380</v>
      </c>
      <c r="E31" t="s" s="2">
        <v>381</v>
      </c>
    </row>
    <row r="32">
      <c r="A32" t="s" s="2">
        <v>382</v>
      </c>
      <c r="B32" t="s" s="2">
        <v>383</v>
      </c>
      <c r="C32" t="s" s="2">
        <v>384</v>
      </c>
      <c r="D32" t="s" s="2">
        <v>385</v>
      </c>
      <c r="E32" t="s" s="2">
        <v>381</v>
      </c>
    </row>
    <row r="33">
      <c r="A33" t="s" s="2">
        <v>386</v>
      </c>
      <c r="B33" t="s" s="2">
        <v>387</v>
      </c>
      <c r="C33" t="s" s="2">
        <v>388</v>
      </c>
      <c r="D33" t="s" s="2">
        <v>389</v>
      </c>
      <c r="E33" t="s" s="2">
        <v>381</v>
      </c>
    </row>
    <row r="34">
      <c r="A34" t="s" s="2">
        <v>390</v>
      </c>
      <c r="B34" t="s" s="2">
        <v>391</v>
      </c>
      <c r="C34" t="s" s="2">
        <v>392</v>
      </c>
      <c r="D34" t="s" s="2">
        <v>393</v>
      </c>
      <c r="E34" t="s" s="2">
        <v>394</v>
      </c>
    </row>
  </sheetData>
  <pageMargins left="0.7" right="0.7" top="0.75" bottom="0.75" header="0.3" footer="0.3"/>
</worksheet>
</file>