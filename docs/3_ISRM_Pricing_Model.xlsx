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Sources" sheetId="3" state="visible" r:id="rId3"/>
    <sheet name="Legacy Baseline" sheetId="4" state="visible" r:id="rId4"/>
    <sheet name="Scope and Gaps" sheetId="5" state="visible" r:id="rId5"/>
    <sheet name="Scope Mapping" sheetId="6" state="visible" r:id="rId6"/>
    <sheet name="Capability Benchmark" sheetId="7" state="visible" r:id="rId7"/>
    <sheet name="Negotiation Narrative" sheetId="8" state="visible" r:id="rId8"/>
    <sheet name="Core Estimate" sheetId="9" state="visible" r:id="rId9"/>
  </sheets>
  <definedNames>
    <definedName name="_xlnm._FilterDatabase" localSheetId="1" hidden="1">'Inputs'!$A$1:$G$19</definedName>
    <definedName name="_xlnm._FilterDatabase" localSheetId="2" hidden="1">'Sources'!$A$1:$H$17</definedName>
    <definedName name="_xlnm._FilterDatabase" localSheetId="4" hidden="1">'Scope and Gaps'!$A$1:$E$11</definedName>
    <definedName name="_xlnm._FilterDatabase" localSheetId="5" hidden="1">'Scope Mapping'!$A$3:$H$28</definedName>
    <definedName name="_xlnm._FilterDatabase" localSheetId="6" hidden="1">'Capability Benchmark'!$A$3:$F$12</definedName>
    <definedName name="_xlnm._FilterDatabase" localSheetId="8" hidden="1">'Core Estimate'!$A$6:$K$19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€#,##0.00"/>
    <numFmt numFmtId="167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b val="1"/>
      <color rgb="00FFFFFF"/>
      <sz val="14"/>
    </font>
    <font>
      <name val="Arial"/>
      <b val="1"/>
      <color rgb="00FFFFFF"/>
      <sz val="16"/>
    </font>
    <font>
      <name val="Arial"/>
      <i val="1"/>
      <color rgb="001F2937"/>
      <sz val="10"/>
    </font>
    <font>
      <name val="Arial"/>
      <b val="1"/>
      <color rgb="00FFFFFF"/>
    </font>
    <font>
      <name val="Arial"/>
      <color rgb="001F2937"/>
      <sz val="10"/>
    </font>
    <font>
      <name val="Arial"/>
      <b val="1"/>
      <color rgb="001F2937"/>
      <sz val="10"/>
    </font>
    <font>
      <name val="Arial"/>
      <color rgb="001F2937"/>
      <sz val="9"/>
    </font>
    <font>
      <name val="Arial"/>
      <i val="1"/>
      <color rgb="001F2937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1F2937"/>
      <sz val="9"/>
    </font>
  </fonts>
  <fills count="11">
    <fill>
      <patternFill/>
    </fill>
    <fill>
      <patternFill patternType="gray125"/>
    </fill>
    <fill>
      <patternFill patternType="solid">
        <fgColor rgb="00183642"/>
      </patternFill>
    </fill>
    <fill>
      <patternFill patternType="solid">
        <fgColor rgb="00FFF1CC"/>
      </patternFill>
    </fill>
    <fill>
      <patternFill patternType="solid">
        <fgColor rgb="00E7F0FA"/>
      </patternFill>
    </fill>
    <fill>
      <patternFill patternType="solid">
        <fgColor rgb="00F2F4F5"/>
      </patternFill>
    </fill>
    <fill>
      <patternFill patternType="solid">
        <fgColor rgb="0017324D"/>
      </patternFill>
    </fill>
    <fill>
      <patternFill patternType="solid">
        <fgColor rgb="00DDEFEA"/>
      </patternFill>
    </fill>
    <fill>
      <patternFill patternType="solid">
        <fgColor rgb="00DCEAF4"/>
      </patternFill>
    </fill>
    <fill>
      <patternFill patternType="solid">
        <fgColor rgb="00FFF2CC"/>
      </patternFill>
    </fill>
    <fill>
      <patternFill patternType="solid">
        <fgColor rgb="00E7E9EC"/>
      </patternFill>
    </fill>
  </fills>
  <borders count="4">
    <border>
      <left/>
      <right/>
      <top/>
      <bottom/>
      <diagonal/>
    </border>
    <border>
      <bottom style="thin">
        <color rgb="00D2D8DC"/>
      </bottom>
    </border>
    <border>
      <bottom style="thin">
        <color rgb="00CFD8E3"/>
      </bottom>
    </border>
    <border>
      <top style="medium">
        <color rgb="0017324D"/>
      </top>
    </border>
  </borders>
  <cellStyleXfs count="2">
    <xf numFmtId="0" fontId="0" fillId="0" borderId="0"/>
    <xf numFmtId="0" fontId="2" fillId="0" borderId="0"/>
  </cellStyleXfs>
  <cellXfs count="52">
    <xf numFmtId="0" fontId="0" fillId="0" borderId="0" pivotButton="0" quotePrefix="0" xfId="0"/>
    <xf numFmtId="0" fontId="4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4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2" fillId="0" borderId="0" pivotButton="0" quotePrefix="0" xfId="1"/>
    <xf numFmtId="3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5" fillId="6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8" fillId="7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  <xf numFmtId="0" fontId="8" fillId="9" borderId="2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center" wrapText="1"/>
    </xf>
    <xf numFmtId="0" fontId="9" fillId="8" borderId="2" applyAlignment="1" pivotButton="0" quotePrefix="0" xfId="0">
      <alignment vertical="top" wrapText="1"/>
    </xf>
    <xf numFmtId="0" fontId="9" fillId="9" borderId="2" applyAlignment="1" pivotButton="0" quotePrefix="0" xfId="0">
      <alignment vertical="top"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6" borderId="0" applyAlignment="1" pivotButton="0" quotePrefix="0" xfId="0">
      <alignment vertical="center" wrapText="1"/>
    </xf>
    <xf numFmtId="0" fontId="10" fillId="0" borderId="2" applyAlignment="1" pivotButton="0" quotePrefix="0" xfId="0">
      <alignment vertical="top" wrapText="1"/>
    </xf>
    <xf numFmtId="3" fontId="10" fillId="9" borderId="2" applyAlignment="1" pivotButton="0" quotePrefix="0" xfId="0">
      <alignment vertical="top" wrapText="1"/>
    </xf>
    <xf numFmtId="167" fontId="10" fillId="8" borderId="2" applyAlignment="1" pivotButton="0" quotePrefix="0" xfId="0">
      <alignment vertical="top" wrapText="1"/>
    </xf>
    <xf numFmtId="0" fontId="9" fillId="8" borderId="3" applyAlignment="1" pivotButton="0" quotePrefix="0" xfId="0">
      <alignment vertical="center" wrapText="1"/>
    </xf>
    <xf numFmtId="3" fontId="9" fillId="8" borderId="3" applyAlignment="1" pivotButton="0" quotePrefix="0" xfId="0">
      <alignment vertical="center" wrapText="1"/>
    </xf>
    <xf numFmtId="167" fontId="9" fillId="8" borderId="3" applyAlignment="1" pivotButton="0" quotePrefix="0" xfId="0">
      <alignment vertical="center" wrapText="1"/>
    </xf>
    <xf numFmtId="0" fontId="13" fillId="6" borderId="0" pivotButton="0" quotePrefix="0" xfId="0"/>
    <xf numFmtId="0" fontId="0" fillId="0" borderId="2" applyAlignment="1" pivotButton="0" quotePrefix="0" xfId="0">
      <alignment vertical="center" wrapText="1"/>
    </xf>
    <xf numFmtId="3" fontId="0" fillId="8" borderId="2" applyAlignment="1" pivotButton="0" quotePrefix="0" xfId="0">
      <alignment vertical="center" wrapText="1"/>
    </xf>
    <xf numFmtId="167" fontId="0" fillId="8" borderId="2" applyAlignment="1" pivotButton="0" quotePrefix="0" xfId="0">
      <alignment vertical="center" wrapText="1"/>
    </xf>
    <xf numFmtId="0" fontId="14" fillId="1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Origin/status recorded in columns E–F. ISRM_Internal_Product_Architecture_Roadmap_and_Pricing.md §§1, 10.1–10.2</t>
      </text>
    </comment>
    <comment ref="B3" authorId="0" shapeId="0">
      <text>
        <t>Origin/status recorded in columns E–F. Clutch Software Development Pricing Guide, updated 2026-09-21</t>
      </text>
    </comment>
    <comment ref="B4" authorId="0" shapeId="0">
      <text>
        <t>Origin/status recorded in columns E–F. Clutch Software Development Pricing Guide, updated 2026-09-21</t>
      </text>
    </comment>
    <comment ref="B5" authorId="0" shapeId="0">
      <text>
        <t>Origin/status recorded in columns E–F. Clutch Software Development Pricing Guide, updated 2026-09-21</t>
      </text>
    </comment>
    <comment ref="B6" authorId="0" shapeId="0">
      <text>
        <t>Origin/status recorded in columns E–F. Clutch Software Development Pricing Guide, updated 2026-09-21</t>
      </text>
    </comment>
    <comment ref="B7" authorId="0" shapeId="0">
      <text>
        <t>Origin/status recorded in columns E–F. Upwork Software Developer Cost page</t>
      </text>
    </comment>
    <comment ref="B8" authorId="0" shapeId="0">
      <text>
        <t>Origin/status recorded in columns E–F. Upwork Software Developer Cost page</t>
      </text>
    </comment>
    <comment ref="B9" authorId="0" shapeId="0">
      <text>
        <t>Origin/status recorded in columns E–F. Upwork Software Developer Cost page</t>
      </text>
    </comment>
    <comment ref="B10" authorId="0" shapeId="0">
      <text>
        <t>Origin/status recorded in columns E–F. ISRM_Internal_Product_Architecture_Roadmap_and_Pricing.md §10.1</t>
      </text>
    </comment>
    <comment ref="B11" authorId="0" shapeId="0">
      <text>
        <t>Origin/status recorded in columns E–F. ISRM_Internal_Product_Architecture_Roadmap_and_Pricing.md §10.1</t>
      </text>
    </comment>
    <comment ref="B12" authorId="0" shapeId="0">
      <text>
        <t>Origin/status recorded in columns E–F. User instruction in current conversation</t>
      </text>
    </comment>
    <comment ref="B13" authorId="0" shapeId="0">
      <text>
        <t>Origin/status recorded in columns E–F. Supabase Pricing</t>
      </text>
    </comment>
    <comment ref="B14" authorId="0" shapeId="0">
      <text>
        <t>Origin/status recorded in columns E–F. Supabase Pricing and Compute/Disk docs</t>
      </text>
    </comment>
    <comment ref="B15" authorId="0" shapeId="0">
      <text>
        <t>Origin/status recorded in columns E–F. Cloudflare Workers Pricing</t>
      </text>
    </comment>
    <comment ref="B16" authorId="0" shapeId="0">
      <text>
        <t>Origin/status recorded in columns E–F. Cloudflare Workers Pricing</t>
      </text>
    </comment>
    <comment ref="B17" authorId="0" shapeId="0">
      <text>
        <t>Origin/status recorded in columns E–F. Cloudflare Workers Pricing</t>
      </text>
    </comment>
    <comment ref="B18" authorId="0" shapeId="0">
      <text>
        <t>Origin/status recorded in columns E–F. Cloudflare Workers Pricing</t>
      </text>
    </comment>
    <comment ref="B19" authorId="0" shapeId="0">
      <text>
        <t>Origin/status recorded in columns E–F. Cloudflare Workers Pricing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3" authorId="0" shapeId="0">
      <text>
        <t>Source: internal roadmap §10.1. Historical estimate input; ⚠ ASSUMPTION, not validated for the expanded scope.</t>
      </text>
    </comment>
    <comment ref="C3" authorId="0" shapeId="0">
      <text>
        <t>Source: internal roadmap §10.1. Historical estimate input; ⚠ ASSUMPTION, not validated for the expanded scope.</t>
      </text>
    </comment>
    <comment ref="B4" authorId="0" shapeId="0">
      <text>
        <t>Source: internal roadmap §10.1. Historical estimate input; ⚠ ASSUMPTION, not validated for the expanded scope.</t>
      </text>
    </comment>
    <comment ref="C4" authorId="0" shapeId="0">
      <text>
        <t>Source: internal roadmap §10.1. Historical estimate input; ⚠ ASSUMPTION, not validated for the expanded scope.</t>
      </text>
    </comment>
    <comment ref="B5" authorId="0" shapeId="0">
      <text>
        <t>Source: internal roadmap §10.1. Historical estimate input; ⚠ ASSUMPTION, not validated for the expanded scope.</t>
      </text>
    </comment>
    <comment ref="C5" authorId="0" shapeId="0">
      <text>
        <t>Source: internal roadmap §10.1. Historical estimate input; ⚠ ASSUMPTION, not validated for the expanded scope.</t>
      </text>
    </comment>
    <comment ref="B6" authorId="0" shapeId="0">
      <text>
        <t>Source: internal roadmap §10.1. Historical estimate input; ⚠ ASSUMPTION, not validated for the expanded scope.</t>
      </text>
    </comment>
    <comment ref="C6" authorId="0" shapeId="0">
      <text>
        <t>Source: internal roadmap §10.1. Historical estimate input; ⚠ ASSUMPTION, not validated for the expanded scope.</t>
      </text>
    </comment>
    <comment ref="B7" authorId="0" shapeId="0">
      <text>
        <t>Source: internal roadmap §10.1. Historical estimate input; ⚠ ASSUMPTION, not validated for the expanded scope.</t>
      </text>
    </comment>
    <comment ref="C7" authorId="0" shapeId="0">
      <text>
        <t>Source: internal roadmap §10.1. Historical estimate input; ⚠ ASSUMPTION, not validated for the expanded scope.</t>
      </text>
    </comment>
    <comment ref="B8" authorId="0" shapeId="0">
      <text>
        <t>Source: internal roadmap §10.1. Historical estimate input; ⚠ ASSUMPTION, not validated for the expanded scope.</t>
      </text>
    </comment>
    <comment ref="C8" authorId="0" shapeId="0">
      <text>
        <t>Source: internal roadmap §10.1. Historical estimate input; ⚠ ASSUMPTION, not validated for the expanded scope.</t>
      </text>
    </comment>
    <comment ref="B9" authorId="0" shapeId="0">
      <text>
        <t>Source: internal roadmap §10.1. Historical estimate input; ⚠ ASSUMPTION, not validated for the expanded scope.</t>
      </text>
    </comment>
    <comment ref="C9" authorId="0" shapeId="0">
      <text>
        <t>Source: internal roadmap §10.1. Historical estimate input; ⚠ ASSUMPTION, not validated for the expanded scope.</t>
      </text>
    </comment>
    <comment ref="B10" authorId="0" shapeId="0">
      <text>
        <t>Source: internal roadmap §10.1. Historical estimate input; ⚠ ASSUMPTION, not validated for the expanded scope.</t>
      </text>
    </comment>
    <comment ref="C10" authorId="0" shapeId="0">
      <text>
        <t>Source: internal roadmap §10.1. Historical estimate input; ⚠ ASSUMPTION, not validated for the expanded scope.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clutch.co/developers/pricing" TargetMode="External" Id="rId1" /><Relationship Type="http://schemas.openxmlformats.org/officeDocument/2006/relationships/hyperlink" Target="https://clutch.co/developers/pricing" TargetMode="External" Id="rId2" /><Relationship Type="http://schemas.openxmlformats.org/officeDocument/2006/relationships/hyperlink" Target="https://www.upwork.com/hire/software-developers/cost" TargetMode="External" Id="rId3" /><Relationship Type="http://schemas.openxmlformats.org/officeDocument/2006/relationships/hyperlink" Target="https://supabase.com/pricing" TargetMode="External" Id="rId4" /><Relationship Type="http://schemas.openxmlformats.org/officeDocument/2006/relationships/hyperlink" Target="https://developers.cloudflare.com/workers/platform/pricing" TargetMode="External" Id="rId5" /><Relationship Type="http://schemas.openxmlformats.org/officeDocument/2006/relationships/hyperlink" Target="https://ai.google.dev/gemini-api/docs/pricing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ISRM internal pricing model</t>
        </is>
      </c>
      <c r="B1" s="1" t="n"/>
    </row>
    <row r="2" ht="30" customHeight="1">
      <c r="A2" s="2" t="inlineStr">
        <is>
          <t>Version date</t>
        </is>
      </c>
      <c r="B2" s="2" t="inlineStr">
        <is>
          <t>2026-09-26</t>
        </is>
      </c>
    </row>
    <row r="3" ht="30" customHeight="1">
      <c r="A3" s="2" t="inlineStr">
        <is>
          <t>Status</t>
        </is>
      </c>
      <c r="B3" s="2" t="inlineStr">
        <is>
          <t>DRAFT — source audit, scope boundary and pricing model; not client-facing</t>
        </is>
      </c>
    </row>
    <row r="4" ht="30" customHeight="1">
      <c r="A4" s="2" t="inlineStr">
        <is>
          <t>Purpose</t>
        </is>
      </c>
      <c r="B4" s="2" t="inlineStr">
        <is>
          <t>Formula-driven starting point for the revised, non-linear proposal model.</t>
        </is>
      </c>
    </row>
    <row r="5" ht="30" customHeight="1">
      <c r="A5" s="3" t="inlineStr">
        <is>
          <t>Color key</t>
        </is>
      </c>
      <c r="B5" s="4" t="inlineStr">
        <is>
          <t>Gold cells are source inputs; blue cells are formulas; gray cells are notes or unresolved items.</t>
        </is>
      </c>
    </row>
    <row r="6" ht="40" customHeight="1">
      <c r="A6" s="5" t="inlineStr">
        <is>
          <t>Pricing boundary</t>
        </is>
      </c>
      <c r="B6" s="5" t="inlineStr">
        <is>
          <t>This section preserves the historical estimate as source context only. The 620-hour total is excluded from future pricing comparisons and new feature estimates; it is not a quote.</t>
        </is>
      </c>
    </row>
    <row r="7" ht="40" customHeight="1">
      <c r="A7" s="2" t="inlineStr">
        <is>
          <t>Source rule</t>
        </is>
      </c>
      <c r="B7" s="2" t="inlineStr">
        <is>
          <t>Every numeric input has a unit, period, status, and source locator in Inputs/Sources. No FX conversion is included.</t>
        </is>
      </c>
    </row>
    <row r="8" ht="40" customHeight="1">
      <c r="A8" s="2" t="inlineStr">
        <is>
          <t>Known scope gaps</t>
        </is>
      </c>
      <c r="B8" s="2" t="inlineStr">
        <is>
          <t>Feature-level effort, live database environment/schema, user load, support plan, vendor choices, IP terms, and visitor-IP retention remain unresolved.</t>
        </is>
      </c>
    </row>
    <row r="9" ht="40" customHeight="1">
      <c r="A9" s="2" t="inlineStr">
        <is>
          <t>Privacy boundary</t>
        </is>
      </c>
      <c r="B9" s="2" t="inlineStr">
        <is>
          <t>Do not collect visitor IP addresses until notice, legal basis, retention, access controls, and secure storage are agreed. Operator-only visibility does not remove those obligations.</t>
        </is>
      </c>
    </row>
    <row r="10" ht="30" customHeight="1">
      <c r="A10" s="2" t="inlineStr">
        <is>
          <t>Next gate</t>
        </is>
      </c>
      <c r="B10" s="2" t="inlineStr">
        <is>
          <t>Review greenfield fixed-core effort assumptions before estimating optional modules and pre-contract tooling.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34" customWidth="1" min="4" max="4"/>
    <col width="26" customWidth="1" min="5" max="5"/>
    <col width="68" customWidth="1" min="6" max="6"/>
    <col width="72" customWidth="1" min="7" max="7"/>
  </cols>
  <sheetData>
    <row r="1" ht="28" customHeight="1">
      <c r="A1" s="6" t="inlineStr">
        <is>
          <t>Input</t>
        </is>
      </c>
      <c r="B1" s="6" t="inlineStr">
        <is>
          <t>Value</t>
        </is>
      </c>
      <c r="C1" s="6" t="inlineStr">
        <is>
          <t>Unit</t>
        </is>
      </c>
      <c r="D1" s="6" t="inlineStr">
        <is>
          <t>Period</t>
        </is>
      </c>
      <c r="E1" s="6" t="inlineStr">
        <is>
          <t>Status</t>
        </is>
      </c>
      <c r="F1" s="6" t="inlineStr">
        <is>
          <t>Origin / locator</t>
        </is>
      </c>
      <c r="G1" s="6" t="inlineStr">
        <is>
          <t>Notes</t>
        </is>
      </c>
    </row>
    <row r="2" ht="40" customHeight="1">
      <c r="A2" s="2" t="inlineStr">
        <is>
          <t>Historical planned effort</t>
        </is>
      </c>
      <c r="B2" s="11" t="n">
        <v>620</v>
      </c>
      <c r="C2" s="2" t="inlineStr">
        <is>
          <t>person-hours</t>
        </is>
      </c>
      <c r="D2" s="2" t="inlineStr">
        <is>
          <t>one-time; old MVP scope</t>
        </is>
      </c>
      <c r="E2" s="2" t="inlineStr">
        <is>
          <t>⚠ ASSUMPTION</t>
        </is>
      </c>
      <c r="F2" s="2" t="inlineStr">
        <is>
          <t>ISRM_Internal_Product_Architecture_Roadmap_and_Pricing.md §§1, 10.1–10.2</t>
        </is>
      </c>
      <c r="G2" s="2" t="inlineStr">
        <is>
          <t>Historical baseline only; scope has changed.</t>
        </is>
      </c>
    </row>
    <row r="3" ht="30" customHeight="1">
      <c r="A3" s="2" t="inlineStr">
        <is>
          <t>Clutch Ukraine band lower endpoint</t>
        </is>
      </c>
      <c r="B3" s="19" t="n">
        <v>25</v>
      </c>
      <c r="C3" s="2" t="inlineStr">
        <is>
          <t>USD / provider-hour</t>
        </is>
      </c>
      <c r="D3" s="2" t="inlineStr">
        <is>
          <t>2026 published band</t>
        </is>
      </c>
      <c r="E3" s="2" t="inlineStr">
        <is>
          <t>Source-reported</t>
        </is>
      </c>
      <c r="F3" s="2" t="inlineStr">
        <is>
          <t>Clutch Software Development Pricing Guide, updated 2026-09-21</t>
        </is>
      </c>
      <c r="G3" s="2" t="inlineStr">
        <is>
          <t>Published band endpoint, not a national floor.</t>
        </is>
      </c>
    </row>
    <row r="4" ht="30" customHeight="1">
      <c r="A4" s="2" t="inlineStr">
        <is>
          <t>Clutch Ukraine band upper endpoint</t>
        </is>
      </c>
      <c r="B4" s="19" t="n">
        <v>49</v>
      </c>
      <c r="C4" s="2" t="inlineStr">
        <is>
          <t>USD / provider-hour</t>
        </is>
      </c>
      <c r="D4" s="2" t="inlineStr">
        <is>
          <t>2026 published band</t>
        </is>
      </c>
      <c r="E4" s="2" t="inlineStr">
        <is>
          <t>Source-reported</t>
        </is>
      </c>
      <c r="F4" s="2" t="inlineStr">
        <is>
          <t>Clutch Software Development Pricing Guide, updated 2026-09-21</t>
        </is>
      </c>
      <c r="G4" s="2" t="inlineStr">
        <is>
          <t>Band endpoint, not a national maximum or a bespoke quote.</t>
        </is>
      </c>
    </row>
    <row r="5" ht="30" customHeight="1">
      <c r="A5" s="2" t="inlineStr">
        <is>
          <t>Clutch US band lower endpoint</t>
        </is>
      </c>
      <c r="B5" s="19" t="n">
        <v>50</v>
      </c>
      <c r="C5" s="2" t="inlineStr">
        <is>
          <t>USD / provider-hour</t>
        </is>
      </c>
      <c r="D5" s="2" t="inlineStr">
        <is>
          <t>2026 published band</t>
        </is>
      </c>
      <c r="E5" s="2" t="inlineStr">
        <is>
          <t>Source-reported</t>
        </is>
      </c>
      <c r="F5" s="2" t="inlineStr">
        <is>
          <t>Clutch Software Development Pricing Guide, updated 2026-09-21</t>
        </is>
      </c>
      <c r="G5" s="2" t="inlineStr">
        <is>
          <t>Published band endpoint, not a national floor.</t>
        </is>
      </c>
    </row>
    <row r="6" ht="30" customHeight="1">
      <c r="A6" s="2" t="inlineStr">
        <is>
          <t>Clutch US band upper endpoint</t>
        </is>
      </c>
      <c r="B6" s="19" t="n">
        <v>99</v>
      </c>
      <c r="C6" s="2" t="inlineStr">
        <is>
          <t>USD / provider-hour</t>
        </is>
      </c>
      <c r="D6" s="2" t="inlineStr">
        <is>
          <t>2026 published band</t>
        </is>
      </c>
      <c r="E6" s="2" t="inlineStr">
        <is>
          <t>Source-reported</t>
        </is>
      </c>
      <c r="F6" s="2" t="inlineStr">
        <is>
          <t>Clutch Software Development Pricing Guide, updated 2026-09-21</t>
        </is>
      </c>
      <c r="G6" s="2" t="inlineStr">
        <is>
          <t>Band endpoint, not a national maximum or a bespoke quote.</t>
        </is>
      </c>
    </row>
    <row r="7" ht="30" customHeight="1">
      <c r="A7" s="2" t="inlineStr">
        <is>
          <t>Upwork global band lower endpoint</t>
        </is>
      </c>
      <c r="B7" s="19" t="n">
        <v>10</v>
      </c>
      <c r="C7" s="2" t="inlineStr">
        <is>
          <t>USD / freelancer-hour</t>
        </is>
      </c>
      <c r="D7" s="2" t="inlineStr">
        <is>
          <t>page accessed 2026-10-01</t>
        </is>
      </c>
      <c r="E7" s="2" t="inlineStr">
        <is>
          <t>Source-reported</t>
        </is>
      </c>
      <c r="F7" s="2" t="inlineStr">
        <is>
          <t>Upwork Software Developer Cost page</t>
        </is>
      </c>
      <c r="G7" s="2" t="inlineStr">
        <is>
          <t>Global freelancer context only; not region-comparable to Clutch.</t>
        </is>
      </c>
    </row>
    <row r="8" ht="30" customHeight="1">
      <c r="A8" s="2" t="inlineStr">
        <is>
          <t>Upwork global band upper endpoint</t>
        </is>
      </c>
      <c r="B8" s="19" t="n">
        <v>100</v>
      </c>
      <c r="C8" s="2" t="inlineStr">
        <is>
          <t>USD / freelancer-hour</t>
        </is>
      </c>
      <c r="D8" s="2" t="inlineStr">
        <is>
          <t>page accessed 2026-10-01</t>
        </is>
      </c>
      <c r="E8" s="2" t="inlineStr">
        <is>
          <t>Source-reported</t>
        </is>
      </c>
      <c r="F8" s="2" t="inlineStr">
        <is>
          <t>Upwork Software Developer Cost page</t>
        </is>
      </c>
      <c r="G8" s="2" t="inlineStr">
        <is>
          <t>Global freelancer context only; not region-comparable to Clutch.</t>
        </is>
      </c>
    </row>
    <row r="9" ht="30" customHeight="1">
      <c r="A9" s="2" t="inlineStr">
        <is>
          <t>Upwork global median</t>
        </is>
      </c>
      <c r="B9" s="19" t="n">
        <v>20</v>
      </c>
      <c r="C9" s="2" t="inlineStr">
        <is>
          <t>USD / freelancer-hour</t>
        </is>
      </c>
      <c r="D9" s="2" t="inlineStr">
        <is>
          <t>page accessed 2026-10-01</t>
        </is>
      </c>
      <c r="E9" s="2" t="inlineStr">
        <is>
          <t>Source-reported</t>
        </is>
      </c>
      <c r="F9" s="2" t="inlineStr">
        <is>
          <t>Upwork Software Developer Cost page</t>
        </is>
      </c>
      <c r="G9" s="2" t="inlineStr">
        <is>
          <t>Global page median; not a company billing rate.</t>
        </is>
      </c>
    </row>
    <row r="10" ht="40" customHeight="1">
      <c r="A10" s="2" t="inlineStr">
        <is>
          <t>Historical reserve</t>
        </is>
      </c>
      <c r="B10" s="20" t="n">
        <v>0.1</v>
      </c>
      <c r="C10" s="2" t="inlineStr">
        <is>
          <t>fraction of base estimate</t>
        </is>
      </c>
      <c r="D10" s="2" t="inlineStr">
        <is>
          <t>one-time; old MVP scope</t>
        </is>
      </c>
      <c r="E10" s="2" t="inlineStr">
        <is>
          <t>⚠ ASSUMPTION</t>
        </is>
      </c>
      <c r="F10" s="2" t="inlineStr">
        <is>
          <t>ISRM_Internal_Product_Architecture_Roadmap_and_Pricing.md §10.1</t>
        </is>
      </c>
      <c r="G10" s="2" t="inlineStr">
        <is>
          <t>Internal planning input, not a validated contingency policy.</t>
        </is>
      </c>
    </row>
    <row r="11" ht="40" customHeight="1">
      <c r="A11" s="2" t="inlineStr">
        <is>
          <t>Historical rounding increment</t>
        </is>
      </c>
      <c r="B11" s="11" t="n">
        <v>100</v>
      </c>
      <c r="C11" s="2" t="inlineStr">
        <is>
          <t>EUR</t>
        </is>
      </c>
      <c r="D11" s="2" t="inlineStr">
        <is>
          <t>one-time; old MVP scope</t>
        </is>
      </c>
      <c r="E11" s="2" t="inlineStr">
        <is>
          <t>Documented convention</t>
        </is>
      </c>
      <c r="F11" s="2" t="inlineStr">
        <is>
          <t>ISRM_Internal_Product_Architecture_Roadmap_and_Pricing.md §10.1</t>
        </is>
      </c>
      <c r="G11" s="2" t="inlineStr">
        <is>
          <t>Old estimate rounded to the nearest €100; not yet approved for the new model.</t>
        </is>
      </c>
    </row>
    <row r="12" ht="40" customHeight="1">
      <c r="A12" s="2" t="inlineStr">
        <is>
          <t>Minimum advance</t>
        </is>
      </c>
      <c r="B12" s="20" t="n">
        <v>0.3</v>
      </c>
      <c r="C12" s="2" t="inlineStr">
        <is>
          <t>fraction of confirmed project estimate</t>
        </is>
      </c>
      <c r="D12" s="2" t="inlineStr">
        <is>
          <t>per contract</t>
        </is>
      </c>
      <c r="E12" s="2" t="inlineStr">
        <is>
          <t>User-approved minimum</t>
        </is>
      </c>
      <c r="F12" s="2" t="inlineStr">
        <is>
          <t>User instruction in current conversation</t>
        </is>
      </c>
      <c r="G12" s="2" t="inlineStr">
        <is>
          <t>Only the minimum advance is set; later milestone percentages remain configurable.</t>
        </is>
      </c>
    </row>
    <row r="13" ht="40" customHeight="1">
      <c r="A13" s="2" t="inlineStr">
        <is>
          <t>Supabase Pro subscription</t>
        </is>
      </c>
      <c r="B13" s="19" t="n">
        <v>25</v>
      </c>
      <c r="C13" s="2" t="inlineStr">
        <is>
          <t>USD / organization-month</t>
        </is>
      </c>
      <c r="D13" s="2" t="inlineStr">
        <is>
          <t>current public price; accessed 2026-10-01</t>
        </is>
      </c>
      <c r="E13" s="2" t="inlineStr">
        <is>
          <t>Source-reported; candidate</t>
        </is>
      </c>
      <c r="F13" s="2" t="inlineStr">
        <is>
          <t>Supabase Pricing</t>
        </is>
      </c>
      <c r="G13" s="2" t="inlineStr">
        <is>
          <t>Not treated as selected production hosting or total SaaS cost.</t>
        </is>
      </c>
    </row>
    <row r="14" ht="40" customHeight="1">
      <c r="A14" s="2" t="inlineStr">
        <is>
          <t>Supabase Micro compute</t>
        </is>
      </c>
      <c r="B14" s="19" t="n">
        <v>10</v>
      </c>
      <c r="C14" s="2" t="inlineStr">
        <is>
          <t>USD / project-month</t>
        </is>
      </c>
      <c r="D14" s="2" t="inlineStr">
        <is>
          <t>current public price; accessed 2026-10-01</t>
        </is>
      </c>
      <c r="E14" s="2" t="inlineStr">
        <is>
          <t>Source-reported; candidate</t>
        </is>
      </c>
      <c r="F14" s="2" t="inlineStr">
        <is>
          <t>Supabase Pricing and Compute/Disk docs</t>
        </is>
      </c>
      <c r="G14" s="2" t="inlineStr">
        <is>
          <t>Pro includes $10 monthly compute credits; project count and sizing remain unknown.</t>
        </is>
      </c>
    </row>
    <row r="15" ht="40" customHeight="1">
      <c r="A15" s="2" t="inlineStr">
        <is>
          <t>Cloudflare Workers Paid subscription</t>
        </is>
      </c>
      <c r="B15" s="19" t="n">
        <v>5</v>
      </c>
      <c r="C15" s="2" t="inlineStr">
        <is>
          <t>USD / account-month</t>
        </is>
      </c>
      <c r="D15" s="2" t="inlineStr">
        <is>
          <t>current public price; accessed 2026-10-01</t>
        </is>
      </c>
      <c r="E15" s="2" t="inlineStr">
        <is>
          <t>Source-reported; candidate</t>
        </is>
      </c>
      <c r="F15" s="2" t="inlineStr">
        <is>
          <t>Cloudflare Workers Pricing</t>
        </is>
      </c>
      <c r="G15" s="2" t="inlineStr">
        <is>
          <t>Account-level plan; allocation to this product and actual usage are unknown.</t>
        </is>
      </c>
    </row>
    <row r="16" ht="40" customHeight="1">
      <c r="A16" s="2" t="inlineStr">
        <is>
          <t>Cloudflare included requests</t>
        </is>
      </c>
      <c r="B16" s="11" t="n">
        <v>10000000</v>
      </c>
      <c r="C16" s="2" t="inlineStr">
        <is>
          <t>requests / account-month</t>
        </is>
      </c>
      <c r="D16" s="2" t="inlineStr">
        <is>
          <t>current public allowance; accessed 2026-10-01</t>
        </is>
      </c>
      <c r="E16" s="2" t="inlineStr">
        <is>
          <t>Source-reported; candidate</t>
        </is>
      </c>
      <c r="F16" s="2" t="inlineStr">
        <is>
          <t>Cloudflare Workers Pricing</t>
        </is>
      </c>
      <c r="G16" s="2" t="inlineStr">
        <is>
          <t>Usage allowance, not a forecast.</t>
        </is>
      </c>
    </row>
    <row r="17" ht="40" customHeight="1">
      <c r="A17" s="2" t="inlineStr">
        <is>
          <t>Cloudflare included CPU</t>
        </is>
      </c>
      <c r="B17" s="11" t="n">
        <v>30000000</v>
      </c>
      <c r="C17" s="2" t="inlineStr">
        <is>
          <t>CPU milliseconds / account-month</t>
        </is>
      </c>
      <c r="D17" s="2" t="inlineStr">
        <is>
          <t>current public allowance; accessed 2026-10-01</t>
        </is>
      </c>
      <c r="E17" s="2" t="inlineStr">
        <is>
          <t>Source-reported; candidate</t>
        </is>
      </c>
      <c r="F17" s="2" t="inlineStr">
        <is>
          <t>Cloudflare Workers Pricing</t>
        </is>
      </c>
      <c r="G17" s="2" t="inlineStr">
        <is>
          <t>Usage allowance, not a forecast.</t>
        </is>
      </c>
    </row>
    <row r="18" ht="40" customHeight="1">
      <c r="A18" s="2" t="inlineStr">
        <is>
          <t>Cloudflare request overage</t>
        </is>
      </c>
      <c r="B18" s="11" t="n">
        <v>0.3</v>
      </c>
      <c r="C18" s="2" t="inlineStr">
        <is>
          <t>USD / additional million requests</t>
        </is>
      </c>
      <c r="D18" s="2" t="inlineStr">
        <is>
          <t>current public price; accessed 2026-10-01</t>
        </is>
      </c>
      <c r="E18" s="2" t="inlineStr">
        <is>
          <t>Source-reported; candidate</t>
        </is>
      </c>
      <c r="F18" s="2" t="inlineStr">
        <is>
          <t>Cloudflare Workers Pricing</t>
        </is>
      </c>
      <c r="G18" s="2" t="inlineStr">
        <is>
          <t>Requires actual request volume.</t>
        </is>
      </c>
    </row>
    <row r="19" ht="40" customHeight="1">
      <c r="A19" s="2" t="inlineStr">
        <is>
          <t>Cloudflare CPU overage</t>
        </is>
      </c>
      <c r="B19" s="11" t="n">
        <v>0.02</v>
      </c>
      <c r="C19" s="2" t="inlineStr">
        <is>
          <t>USD / additional million CPU milliseconds</t>
        </is>
      </c>
      <c r="D19" s="2" t="inlineStr">
        <is>
          <t>current public price; accessed 2026-10-01</t>
        </is>
      </c>
      <c r="E19" s="2" t="inlineStr">
        <is>
          <t>Source-reported; candidate</t>
        </is>
      </c>
      <c r="F19" s="2" t="inlineStr">
        <is>
          <t>Cloudflare Workers Pricing</t>
        </is>
      </c>
      <c r="G19" s="2" t="inlineStr">
        <is>
          <t>Requires actual CPU usage.</t>
        </is>
      </c>
    </row>
  </sheetData>
  <autoFilter ref="A1:G1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74" customWidth="1" min="3" max="3"/>
    <col width="34" customWidth="1" min="4" max="4"/>
    <col width="26" customWidth="1" min="5" max="5"/>
    <col width="52" customWidth="1" min="6" max="6"/>
    <col width="76" customWidth="1" min="7" max="7"/>
    <col width="56" customWidth="1" min="8" max="8"/>
  </cols>
  <sheetData>
    <row r="1" ht="28" customHeight="1">
      <c r="A1" s="6" t="inlineStr">
        <is>
          <t>Source ID</t>
        </is>
      </c>
      <c r="B1" s="6" t="inlineStr">
        <is>
          <t>Source / locator</t>
        </is>
      </c>
      <c r="C1" s="6" t="inlineStr">
        <is>
          <t>Exact fact used</t>
        </is>
      </c>
      <c r="D1" s="6" t="inlineStr">
        <is>
          <t>Unit / period</t>
        </is>
      </c>
      <c r="E1" s="6" t="inlineStr">
        <is>
          <t>Accessed / published</t>
        </is>
      </c>
      <c r="F1" s="6" t="inlineStr">
        <is>
          <t>How it is used</t>
        </is>
      </c>
      <c r="G1" s="6" t="inlineStr">
        <is>
          <t>Limit / status</t>
        </is>
      </c>
      <c r="H1" s="6" t="inlineStr">
        <is>
          <t>URL</t>
        </is>
      </c>
    </row>
    <row r="2" ht="40" customHeight="1">
      <c r="A2" s="2" t="inlineStr">
        <is>
          <t>INT-WBS</t>
        </is>
      </c>
      <c r="B2" s="2" t="inlineStr">
        <is>
          <t>Internal architecture and pricing roadmap §§1, 10.1–10.2</t>
        </is>
      </c>
      <c r="C2" s="2" t="inlineStr">
        <is>
          <t>Role plan totals 620 hours and €49,170 base; 10% reserve; rounded discussion estimate €54,100.</t>
        </is>
      </c>
      <c r="D2" s="2" t="inlineStr">
        <is>
          <t>person-hours; EUR/hour; EUR one-time</t>
        </is>
      </c>
      <c r="E2" s="2" t="inlineStr">
        <is>
          <t>Document dated 2026-09-26</t>
        </is>
      </c>
      <c r="F2" s="2" t="inlineStr">
        <is>
          <t>Historical arithmetic audit only.</t>
        </is>
      </c>
      <c r="G2" s="2" t="inlineStr">
        <is>
          <t>Internal planning assumptions; not approved for the expanded scope or as a quote.</t>
        </is>
      </c>
      <c r="H2" s="2" t="inlineStr"/>
    </row>
    <row r="3" ht="40" customHeight="1">
      <c r="A3" s="2" t="inlineStr">
        <is>
          <t>CLUTCH-UA</t>
        </is>
      </c>
      <c r="B3" s="2" t="inlineStr">
        <is>
          <t>Clutch Software Development Pricing Guide</t>
        </is>
      </c>
      <c r="C3" s="2" t="inlineStr">
        <is>
          <t>Ukraine provider rate band $25–$49 per hour.</t>
        </is>
      </c>
      <c r="D3" s="2" t="inlineStr">
        <is>
          <t>USD / provider-hour</t>
        </is>
      </c>
      <c r="E3" s="2" t="inlineStr">
        <is>
          <t>Updated 2026-09-21</t>
        </is>
      </c>
      <c r="F3" s="2" t="inlineStr">
        <is>
          <t>Reference scenario uses the upper endpoint only.</t>
        </is>
      </c>
      <c r="G3" s="2" t="inlineStr">
        <is>
          <t>The endpoint is not a country maximum; data is not a matched quote.</t>
        </is>
      </c>
      <c r="H3" s="32" t="inlineStr">
        <is>
          <t>https://clutch.co/developers/pricing</t>
        </is>
      </c>
    </row>
    <row r="4" ht="40" customHeight="1">
      <c r="A4" s="2" t="inlineStr">
        <is>
          <t>CLUTCH-US</t>
        </is>
      </c>
      <c r="B4" s="2" t="inlineStr">
        <is>
          <t>Clutch Software Development Pricing Guide</t>
        </is>
      </c>
      <c r="C4" s="2" t="inlineStr">
        <is>
          <t>United States provider rate band $50–$99 per hour.</t>
        </is>
      </c>
      <c r="D4" s="2" t="inlineStr">
        <is>
          <t>USD / provider-hour</t>
        </is>
      </c>
      <c r="E4" s="2" t="inlineStr">
        <is>
          <t>Updated 2026-09-21</t>
        </is>
      </c>
      <c r="F4" s="2" t="inlineStr">
        <is>
          <t>Reference scenario uses the upper endpoint only.</t>
        </is>
      </c>
      <c r="G4" s="2" t="inlineStr">
        <is>
          <t>The endpoint is not a country maximum; data is not a matched quote.</t>
        </is>
      </c>
      <c r="H4" s="32" t="inlineStr">
        <is>
          <t>https://clutch.co/developers/pricing</t>
        </is>
      </c>
    </row>
    <row r="5" ht="40" customHeight="1">
      <c r="A5" s="2" t="inlineStr">
        <is>
          <t>UPWORK</t>
        </is>
      </c>
      <c r="B5" s="2" t="inlineStr">
        <is>
          <t>Upwork Software Developer Cost page</t>
        </is>
      </c>
      <c r="C5" s="2" t="inlineStr">
        <is>
          <t>Global freelancer range $10–$100/hour; median $20/hour.</t>
        </is>
      </c>
      <c r="D5" s="2" t="inlineStr">
        <is>
          <t>USD / freelancer-hour</t>
        </is>
      </c>
      <c r="E5" s="2" t="inlineStr">
        <is>
          <t>Accessed 2026-10-01</t>
        </is>
      </c>
      <c r="F5" s="2" t="inlineStr">
        <is>
          <t>Broad context only; do not blend with company rates.</t>
        </is>
      </c>
      <c r="G5" s="2" t="inlineStr">
        <is>
          <t>Not a geographic or provider-type match to Clutch.</t>
        </is>
      </c>
      <c r="H5" s="32" t="inlineStr">
        <is>
          <t>https://www.upwork.com/hire/software-developers/cost</t>
        </is>
      </c>
    </row>
    <row r="6" ht="40" customHeight="1">
      <c r="A6" s="2" t="inlineStr">
        <is>
          <t>SUPABASE</t>
        </is>
      </c>
      <c r="B6" s="2" t="inlineStr">
        <is>
          <t>Supabase Pricing and Compute/Disk docs</t>
        </is>
      </c>
      <c r="C6" s="2" t="inlineStr">
        <is>
          <t>Pro subscription $25/month; $10 compute credits; Micro compute starts at $10/month per project.</t>
        </is>
      </c>
      <c r="D6" s="2" t="inlineStr">
        <is>
          <t>USD / organization-month and project-month</t>
        </is>
      </c>
      <c r="E6" s="2" t="inlineStr">
        <is>
          <t>Accessed 2026-10-01</t>
        </is>
      </c>
      <c r="F6" s="2" t="inlineStr">
        <is>
          <t>Candidate recurring infrastructure inputs for a future scenario.</t>
        </is>
      </c>
      <c r="G6" s="2" t="inlineStr">
        <is>
          <t>Supabase direction exists, but data source-of-truth, environment, schema, and project topology are unresolved.</t>
        </is>
      </c>
      <c r="H6" s="32" t="inlineStr">
        <is>
          <t>https://supabase.com/pricing</t>
        </is>
      </c>
    </row>
    <row r="7" ht="40" customHeight="1">
      <c r="A7" s="2" t="inlineStr">
        <is>
          <t>CLOUDFLARE</t>
        </is>
      </c>
      <c r="B7" s="2" t="inlineStr">
        <is>
          <t>Cloudflare Workers Pricing</t>
        </is>
      </c>
      <c r="C7" s="2" t="inlineStr">
        <is>
          <t>Paid plan $5/month; 10 million requests and 30 million CPU-ms included; additional request/CPU pricing is usage-based.</t>
        </is>
      </c>
      <c r="D7" s="2" t="inlineStr">
        <is>
          <t>USD / account-month and usage units</t>
        </is>
      </c>
      <c r="E7" s="2" t="inlineStr">
        <is>
          <t>Accessed 2026-10-01</t>
        </is>
      </c>
      <c r="F7" s="2" t="inlineStr">
        <is>
          <t>Candidate hosting input only.</t>
        </is>
      </c>
      <c r="G7" s="2" t="inlineStr">
        <is>
          <t>Not a complete bill; account allocation and actual usage are unknown.</t>
        </is>
      </c>
      <c r="H7" s="32" t="inlineStr">
        <is>
          <t>https://developers.cloudflare.com/workers/platform/pricing</t>
        </is>
      </c>
    </row>
    <row r="8" ht="40" customHeight="1">
      <c r="A8" s="2" t="inlineStr">
        <is>
          <t>GEMINI</t>
        </is>
      </c>
      <c r="B8" s="2" t="inlineStr">
        <is>
          <t>Google Gemini API Pricing</t>
        </is>
      </c>
      <c r="C8" s="2" t="inlineStr">
        <is>
          <t>Paid API pricing varies by model, input/output tokens, and optional tools such as grounding.</t>
        </is>
      </c>
      <c r="D8" s="2" t="inlineStr">
        <is>
          <t>USD / model-specific usage units</t>
        </is>
      </c>
      <c r="E8" s="2" t="inlineStr">
        <is>
          <t>Accessed 2026-10-01</t>
        </is>
      </c>
      <c r="F8" s="2" t="inlineStr">
        <is>
          <t>No numeric model cost used in this slice.</t>
        </is>
      </c>
      <c r="G8" s="2" t="inlineStr">
        <is>
          <t>No AI model or usage profile has been selected.</t>
        </is>
      </c>
      <c r="H8" s="32" t="inlineStr">
        <is>
          <t>https://ai.google.dev/gemini-api/docs/pricing</t>
        </is>
      </c>
    </row>
    <row r="9" ht="55" customHeight="1">
      <c r="A9" s="33" t="inlineStr">
        <is>
          <t>CIRCLE-CAP</t>
        </is>
      </c>
      <c r="B9" s="33" t="inlineStr">
        <is>
          <t>Circle Community Managers platform page</t>
        </is>
      </c>
      <c r="C9" s="33" t="inlineStr">
        <is>
          <t>Lists member directory/profiles, discussions, events, analytics and gamification; workflows, profile fields, branded notifications and activity scores appear in a higher plan.</t>
        </is>
      </c>
      <c r="D9" s="33" t="inlineStr">
        <is>
          <t>Product capabilities; plan-dependent</t>
        </is>
      </c>
      <c r="E9" s="33" t="inlineStr">
        <is>
          <t>Accessed 2026-10-01</t>
        </is>
      </c>
      <c r="F9" s="33" t="inlineStr">
        <is>
          <t>Capability comparison only; no pricing or outcome claims used.</t>
        </is>
      </c>
      <c r="G9" s="33" t="inlineStr">
        <is>
          <t>Vendor description; feature depth and availability vary by plan/community.</t>
        </is>
      </c>
      <c r="H9" s="33" t="inlineStr">
        <is>
          <t>https://circle.so/platform/community-managers</t>
        </is>
      </c>
    </row>
    <row r="10" ht="40" customHeight="1">
      <c r="A10" s="33" t="inlineStr">
        <is>
          <t>CIRCLE-SEC</t>
        </is>
      </c>
      <c r="B10" s="33" t="inlineStr">
        <is>
          <t>Circle Data Processing Addendum, security section</t>
        </is>
      </c>
      <c r="C10" s="33" t="inlineStr">
        <is>
          <t>Describes AES-256 encryption at rest and TLS 1.2+ in transit, plus organizational controls.</t>
        </is>
      </c>
      <c r="D10" s="33" t="inlineStr">
        <is>
          <t>Security controls; current DPA</t>
        </is>
      </c>
      <c r="E10" s="33" t="inlineStr">
        <is>
          <t>Accessed 2026-10-01</t>
        </is>
      </c>
      <c r="F10" s="33" t="inlineStr">
        <is>
          <t>Baseline security comparison; does not establish end-to-end encrypted member messaging.</t>
        </is>
      </c>
      <c r="G10" s="33" t="inlineStr">
        <is>
          <t>Vendor statement; no claim that this meets ISRM threat model.</t>
        </is>
      </c>
      <c r="H10" s="33" t="inlineStr">
        <is>
          <t>https://circle.so/dpa</t>
        </is>
      </c>
    </row>
    <row r="11" ht="55" customHeight="1">
      <c r="A11" s="33" t="inlineStr">
        <is>
          <t>HIVE-CAP</t>
        </is>
      </c>
      <c r="B11" s="33" t="inlineStr">
        <is>
          <t>Hivebrite features page</t>
        </is>
      </c>
      <c r="C11" s="33" t="inlineStr">
        <is>
          <t>Lists direct messaging, events, forums, journeys, live feed, searchable member directory, groups, memberships, projects, news and people recommendations.</t>
        </is>
      </c>
      <c r="D11" s="33" t="inlineStr">
        <is>
          <t>Product capabilities</t>
        </is>
      </c>
      <c r="E11" s="33" t="inlineStr">
        <is>
          <t>Accessed 2026-10-01</t>
        </is>
      </c>
      <c r="F11" s="33" t="inlineStr">
        <is>
          <t>Capability comparison only.</t>
        </is>
      </c>
      <c r="G11" s="33" t="inlineStr">
        <is>
          <t>Vendor feature page; not proof every capability is included in every plan.</t>
        </is>
      </c>
      <c r="H11" s="33" t="inlineStr">
        <is>
          <t>https://hivebrite.com/features</t>
        </is>
      </c>
    </row>
    <row r="12" ht="40" customHeight="1">
      <c r="A12" s="33" t="inlineStr">
        <is>
          <t>HIVE-SEC</t>
        </is>
      </c>
      <c r="B12" s="33" t="inlineStr">
        <is>
          <t>Hivebrite demo/product security page</t>
        </is>
      </c>
      <c r="C12" s="33" t="inlineStr">
        <is>
          <t>Publishes ISO 27001 and PCI-DSS certification, AES-256 encryption, SSO, role-based access control and audit logs.</t>
        </is>
      </c>
      <c r="D12" s="33" t="inlineStr">
        <is>
          <t>Security controls; current page</t>
        </is>
      </c>
      <c r="E12" s="33" t="inlineStr">
        <is>
          <t>Accessed 2026-10-01</t>
        </is>
      </c>
      <c r="F12" s="33" t="inlineStr">
        <is>
          <t>Security capability comparison.</t>
        </is>
      </c>
      <c r="G12" s="33" t="inlineStr">
        <is>
          <t>Vendor statement; scope/certification evidence and contract must be checked during procurement.</t>
        </is>
      </c>
      <c r="H12" s="33" t="inlineStr">
        <is>
          <t>https://hivebrite.com/demo</t>
        </is>
      </c>
    </row>
    <row r="13" ht="55" customHeight="1">
      <c r="A13" s="33" t="inlineStr">
        <is>
          <t>VIVA-ADMIN</t>
        </is>
      </c>
      <c r="B13" s="33" t="inlineStr">
        <is>
          <t>Microsoft Learn: Manage admin roles in Viva Engage</t>
        </is>
      </c>
      <c r="C13" s="33" t="inlineStr">
        <is>
          <t>Community admins can manage members/admins and conversations, create/manage campaigns, send announcements, and control community settings; network admins can constrain community creation.</t>
        </is>
      </c>
      <c r="D13" s="33" t="inlineStr">
        <is>
          <t>Role capabilities</t>
        </is>
      </c>
      <c r="E13" s="33" t="inlineStr">
        <is>
          <t>Accessed 2026-10-01</t>
        </is>
      </c>
      <c r="F13" s="33" t="inlineStr">
        <is>
          <t>Embedded community governance comparison.</t>
        </is>
      </c>
      <c r="G13" s="33" t="inlineStr">
        <is>
          <t>Microsoft product documentation; feature/licensing availability may vary.</t>
        </is>
      </c>
      <c r="H13" s="33" t="inlineStr">
        <is>
          <t>https://learn.microsoft.com/en-us/viva/engage/eac-key-admin-roles-permissions</t>
        </is>
      </c>
    </row>
    <row r="14" ht="55" customHeight="1">
      <c r="A14" s="33" t="inlineStr">
        <is>
          <t>VIVA-ANALYTICS</t>
        </is>
      </c>
      <c r="B14" s="33" t="inlineStr">
        <is>
          <t>Microsoft Support: Track engagement in Viva Engage with analytics</t>
        </is>
      </c>
      <c r="C14" s="33" t="inlineStr">
        <is>
          <t>Community analytics include member/admin activity, engaged/reached people and dormant conversations; Microsoft states early admin engagement is associated with greater community success.</t>
        </is>
      </c>
      <c r="D14" s="33" t="inlineStr">
        <is>
          <t>Engagement metrics; product guidance</t>
        </is>
      </c>
      <c r="E14" s="33" t="inlineStr">
        <is>
          <t>Accessed 2026-10-01</t>
        </is>
      </c>
      <c r="F14" s="33" t="inlineStr">
        <is>
          <t>Supports operator analytics and re-engagement requirements, not a guaranteed outcome.</t>
        </is>
      </c>
      <c r="G14" s="33" t="inlineStr">
        <is>
          <t>Vendor guidance/observation; association is not proof of causation or universal threshold.</t>
        </is>
      </c>
      <c r="H14" s="33" t="inlineStr">
        <is>
          <t>https://support.microsoft.com/en-us/viva/engage/track-engagement-in-viva-engage-with-analytics</t>
        </is>
      </c>
    </row>
    <row r="15" ht="55" customHeight="1">
      <c r="A15" s="33" t="inlineStr">
        <is>
          <t>SALESFORCE-EXP</t>
        </is>
      </c>
      <c r="B15" s="33" t="inlineStr">
        <is>
          <t>Salesforce Trailhead: Experience Cloud for engagement</t>
        </is>
      </c>
      <c r="C15" s="33" t="inlineStr">
        <is>
          <t>Experience Cloud sites connect to Salesforce CRM; administrators control which data and audiences are exposed, supporting customer/partner portals and peer support.</t>
        </is>
      </c>
      <c r="D15" s="33" t="inlineStr">
        <is>
          <t>Embedded portal capabilities</t>
        </is>
      </c>
      <c r="E15" s="33" t="inlineStr">
        <is>
          <t>Accessed 2026-10-01</t>
        </is>
      </c>
      <c r="F15" s="33" t="inlineStr">
        <is>
          <t>Embedded-platform comparison.</t>
        </is>
      </c>
      <c r="G15" s="33" t="inlineStr">
        <is>
          <t>Training documentation; actual capability depends on implementation, edition and configuration.</t>
        </is>
      </c>
      <c r="H15" s="33" t="inlineStr">
        <is>
          <t>https://trailhead.salesforce.com/content/learn/modules/community_cloud_basics/communities_intro_to_community_cloud</t>
        </is>
      </c>
    </row>
    <row r="16" ht="55" customHeight="1">
      <c r="A16" s="33" t="inlineStr">
        <is>
          <t>SALESFORCE-GUEST</t>
        </is>
      </c>
      <c r="B16" s="33" t="inlineStr">
        <is>
          <t>Salesforce: Securely Share with Guest Users</t>
        </is>
      </c>
      <c r="C16" s="33" t="inlineStr">
        <is>
          <t>Documents least-privilege controls for public Experience Cloud sites, including private guest record defaults and read-only guest access limits.</t>
        </is>
      </c>
      <c r="D16" s="33" t="inlineStr">
        <is>
          <t>Guest security controls</t>
        </is>
      </c>
      <c r="E16" s="33" t="inlineStr">
        <is>
          <t>Accessed 2026-10-01</t>
        </is>
      </c>
      <c r="F16" s="33" t="inlineStr">
        <is>
          <t>Supports explicit guest/member access design and security testing.</t>
        </is>
      </c>
      <c r="G16" s="33" t="inlineStr">
        <is>
          <t>Applies to Salesforce implementation; not a substitute for ISRM threat modeling.</t>
        </is>
      </c>
      <c r="H16" s="33" t="inlineStr">
        <is>
          <t>https://resources.docs.salesforce.com/latest/latest/en-us/sfdc/pdf/communities_secure_guest_users.pdf</t>
        </is>
      </c>
    </row>
    <row r="17" ht="55" customHeight="1">
      <c r="A17" s="33" t="inlineStr">
        <is>
          <t>CRT-GROWTH</t>
        </is>
      </c>
      <c r="B17" s="33" t="inlineStr">
        <is>
          <t>The Community Roundtable: Elevating Content &amp; Programs for Community Growth</t>
        </is>
      </c>
      <c r="C17" s="33" t="inlineStr">
        <is>
          <t>Recommends onboarding, newsletters, member spotlights, virtual presentations and varied programming as ways to support participation and retention.</t>
        </is>
      </c>
      <c r="D17" s="33" t="inlineStr">
        <is>
          <t>Qualitative community-practice guidance</t>
        </is>
      </c>
      <c r="E17" s="33" t="inlineStr">
        <is>
          <t>Accessed 2026-10-01</t>
        </is>
      </c>
      <c r="F17" s="33" t="inlineStr">
        <is>
          <t>Supports lifecycle and community-operations workflows; no numerical lift assumed.</t>
        </is>
      </c>
      <c r="G17" s="33" t="inlineStr">
        <is>
          <t>Practice guidance; not a causal estimate or proof that software alone creates engagement.</t>
        </is>
      </c>
      <c r="H17" s="33" t="inlineStr">
        <is>
          <t>https://communityroundtable.com/state-of-community-management/elevating-content-programs-for-community-growth</t>
        </is>
      </c>
    </row>
  </sheetData>
  <autoFilter ref="A1:H17"/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24" customWidth="1" min="4" max="4"/>
    <col width="30" customWidth="1" min="5" max="5"/>
    <col width="50" customWidth="1" min="6" max="6"/>
  </cols>
  <sheetData>
    <row r="1" ht="28" customHeight="1">
      <c r="A1" s="6" t="inlineStr">
        <is>
          <t>Historical Estimate — Source Record Only</t>
        </is>
      </c>
      <c r="B1" s="6" t="n"/>
      <c r="C1" s="6" t="n"/>
      <c r="D1" s="6" t="n"/>
      <c r="E1" s="6" t="n"/>
      <c r="F1" s="6" t="n"/>
    </row>
    <row r="2" ht="40" customHeight="1">
      <c r="A2" s="2" t="inlineStr">
        <is>
          <t>Role</t>
        </is>
      </c>
      <c r="B2" s="2" t="inlineStr">
        <is>
          <t>Planned hours</t>
        </is>
      </c>
      <c r="C2" s="2" t="inlineStr">
        <is>
          <t>Planning rate (EUR/hour)</t>
        </is>
      </c>
      <c r="D2" s="2" t="inlineStr">
        <is>
          <t>Line amount (EUR)</t>
        </is>
      </c>
      <c r="E2" s="2" t="inlineStr">
        <is>
          <t>Input status</t>
        </is>
      </c>
      <c r="F2" s="2" t="inlineStr">
        <is>
          <t>Origin</t>
        </is>
      </c>
    </row>
    <row r="3" ht="30" customHeight="1">
      <c r="A3" s="2" t="inlineStr">
        <is>
          <t>Product/Business Analyst</t>
        </is>
      </c>
      <c r="B3" s="11" t="n">
        <v>68</v>
      </c>
      <c r="C3" s="21" t="n">
        <v>80</v>
      </c>
      <c r="D3" s="22">
        <f>B3*C3</f>
        <v/>
      </c>
      <c r="E3" s="2" t="inlineStr">
        <is>
          <t>⚠ ASSUMPTION</t>
        </is>
      </c>
      <c r="F3" s="2" t="inlineStr">
        <is>
          <t>Internal roadmap §10.1</t>
        </is>
      </c>
    </row>
    <row r="4" ht="30" customHeight="1">
      <c r="A4" s="2" t="inlineStr">
        <is>
          <t>UX/UI Designer</t>
        </is>
      </c>
      <c r="B4" s="11" t="n">
        <v>56</v>
      </c>
      <c r="C4" s="21" t="n">
        <v>70</v>
      </c>
      <c r="D4" s="22">
        <f>B4*C4</f>
        <v/>
      </c>
      <c r="E4" s="2" t="inlineStr">
        <is>
          <t>⚠ ASSUMPTION</t>
        </is>
      </c>
      <c r="F4" s="2" t="inlineStr">
        <is>
          <t>Internal roadmap §10.1</t>
        </is>
      </c>
    </row>
    <row r="5" ht="30" customHeight="1">
      <c r="A5" s="2" t="inlineStr">
        <is>
          <t>Solution Architect / Tech Lead</t>
        </is>
      </c>
      <c r="B5" s="11" t="n">
        <v>52</v>
      </c>
      <c r="C5" s="21" t="n">
        <v>100</v>
      </c>
      <c r="D5" s="22">
        <f>B5*C5</f>
        <v/>
      </c>
      <c r="E5" s="2" t="inlineStr">
        <is>
          <t>⚠ ASSUMPTION</t>
        </is>
      </c>
      <c r="F5" s="2" t="inlineStr">
        <is>
          <t>Internal roadmap §10.1</t>
        </is>
      </c>
    </row>
    <row r="6" ht="30" customHeight="1">
      <c r="A6" s="2" t="inlineStr">
        <is>
          <t>Full-stack Engineer</t>
        </is>
      </c>
      <c r="B6" s="11" t="n">
        <v>226</v>
      </c>
      <c r="C6" s="21" t="n">
        <v>80</v>
      </c>
      <c r="D6" s="22">
        <f>B6*C6</f>
        <v/>
      </c>
      <c r="E6" s="2" t="inlineStr">
        <is>
          <t>⚠ ASSUMPTION</t>
        </is>
      </c>
      <c r="F6" s="2" t="inlineStr">
        <is>
          <t>Internal roadmap §10.1</t>
        </is>
      </c>
    </row>
    <row r="7" ht="30" customHeight="1">
      <c r="A7" s="2" t="inlineStr">
        <is>
          <t>Graph / Data Visualization Engineer</t>
        </is>
      </c>
      <c r="B7" s="11" t="n">
        <v>72</v>
      </c>
      <c r="C7" s="21" t="n">
        <v>85</v>
      </c>
      <c r="D7" s="22">
        <f>B7*C7</f>
        <v/>
      </c>
      <c r="E7" s="2" t="inlineStr">
        <is>
          <t>⚠ ASSUMPTION</t>
        </is>
      </c>
      <c r="F7" s="2" t="inlineStr">
        <is>
          <t>Internal roadmap §10.1</t>
        </is>
      </c>
    </row>
    <row r="8" ht="30" customHeight="1">
      <c r="A8" s="2" t="inlineStr">
        <is>
          <t>QA Engineer</t>
        </is>
      </c>
      <c r="B8" s="11" t="n">
        <v>76</v>
      </c>
      <c r="C8" s="21" t="n">
        <v>60</v>
      </c>
      <c r="D8" s="22">
        <f>B8*C8</f>
        <v/>
      </c>
      <c r="E8" s="2" t="inlineStr">
        <is>
          <t>⚠ ASSUMPTION</t>
        </is>
      </c>
      <c r="F8" s="2" t="inlineStr">
        <is>
          <t>Internal roadmap §10.1</t>
        </is>
      </c>
    </row>
    <row r="9" ht="30" customHeight="1">
      <c r="A9" s="2" t="inlineStr">
        <is>
          <t>DevOps / Application Security</t>
        </is>
      </c>
      <c r="B9" s="11" t="n">
        <v>38</v>
      </c>
      <c r="C9" s="21" t="n">
        <v>95</v>
      </c>
      <c r="D9" s="22">
        <f>B9*C9</f>
        <v/>
      </c>
      <c r="E9" s="2" t="inlineStr">
        <is>
          <t>⚠ ASSUMPTION</t>
        </is>
      </c>
      <c r="F9" s="2" t="inlineStr">
        <is>
          <t>Internal roadmap §10.1</t>
        </is>
      </c>
    </row>
    <row r="10" ht="30" customHeight="1">
      <c r="A10" s="2" t="inlineStr">
        <is>
          <t>Project/Delivery Manager</t>
        </is>
      </c>
      <c r="B10" s="11" t="n">
        <v>32</v>
      </c>
      <c r="C10" s="21" t="n">
        <v>70</v>
      </c>
      <c r="D10" s="22">
        <f>B10*C10</f>
        <v/>
      </c>
      <c r="E10" s="2" t="inlineStr">
        <is>
          <t>⚠ ASSUMPTION</t>
        </is>
      </c>
      <c r="F10" s="2" t="inlineStr">
        <is>
          <t>Internal roadmap §10.1</t>
        </is>
      </c>
    </row>
    <row r="11" ht="30" customHeight="1">
      <c r="A11" s="2" t="inlineStr">
        <is>
          <t>Base total</t>
        </is>
      </c>
      <c r="B11" s="14">
        <f>SUM(B3:B10)</f>
        <v/>
      </c>
      <c r="C11" s="2" t="inlineStr"/>
      <c r="D11" s="22">
        <f>SUM(D3:D10)</f>
        <v/>
      </c>
      <c r="E11" s="2" t="inlineStr">
        <is>
          <t>Formula</t>
        </is>
      </c>
      <c r="F11" s="2" t="inlineStr">
        <is>
          <t>Calculated from role rows</t>
        </is>
      </c>
    </row>
    <row r="12" ht="30" customHeight="1">
      <c r="A12" s="2" t="inlineStr">
        <is>
          <t>Reserve rate</t>
        </is>
      </c>
      <c r="B12" s="23">
        <f>Inputs!B10</f>
        <v/>
      </c>
      <c r="C12" s="2" t="inlineStr"/>
      <c r="D12" s="22">
        <f>D11*B12</f>
        <v/>
      </c>
      <c r="E12" s="2" t="inlineStr">
        <is>
          <t>Formula + source input</t>
        </is>
      </c>
      <c r="F12" s="2" t="inlineStr">
        <is>
          <t>Internal roadmap §10.1</t>
        </is>
      </c>
    </row>
    <row r="13" ht="30" customHeight="1">
      <c r="A13" s="2" t="inlineStr">
        <is>
          <t>Exact total before display rounding</t>
        </is>
      </c>
      <c r="B13" s="14" t="inlineStr"/>
      <c r="C13" s="2" t="inlineStr"/>
      <c r="D13" s="22">
        <f>D11+D12</f>
        <v/>
      </c>
      <c r="E13" s="2" t="inlineStr">
        <is>
          <t>Formula</t>
        </is>
      </c>
      <c r="F13" s="2" t="inlineStr">
        <is>
          <t>Base + reserve</t>
        </is>
      </c>
    </row>
    <row r="14" ht="40" customHeight="1">
      <c r="A14" s="2" t="inlineStr">
        <is>
          <t>Historical rounded discussion amount</t>
        </is>
      </c>
      <c r="B14" s="14" t="inlineStr"/>
      <c r="C14" s="2" t="inlineStr"/>
      <c r="D14" s="22">
        <f>ROUND(D13/Inputs!B11,0)*Inputs!B11</f>
        <v/>
      </c>
      <c r="E14" s="2" t="inlineStr">
        <is>
          <t>Formula</t>
        </is>
      </c>
      <c r="F14" s="2" t="inlineStr">
        <is>
          <t>Nearest €100 per old document</t>
        </is>
      </c>
    </row>
    <row r="15" ht="40" customHeight="1">
      <c r="A15" s="2" t="inlineStr">
        <is>
          <t>Minimum advance at 30% of rounded amount</t>
        </is>
      </c>
      <c r="B15" s="23">
        <f>Inputs!B12</f>
        <v/>
      </c>
      <c r="C15" s="2" t="inlineStr"/>
      <c r="D15" s="22">
        <f>D14*B15</f>
        <v/>
      </c>
      <c r="E15" s="2" t="inlineStr">
        <is>
          <t>Formula + user-approved minimum</t>
        </is>
      </c>
      <c r="F15" s="2" t="inlineStr">
        <is>
          <t>30% is a minimum; payment milestones are not agreed</t>
        </is>
      </c>
    </row>
    <row r="16" ht="40" customHeight="1">
      <c r="A16" s="2" t="inlineStr">
        <is>
          <t>Balance after minimum advance</t>
        </is>
      </c>
      <c r="B16" s="14" t="inlineStr"/>
      <c r="C16" s="2" t="inlineStr"/>
      <c r="D16" s="22">
        <f>D14-D15</f>
        <v/>
      </c>
      <c r="E16" s="2" t="inlineStr">
        <is>
          <t>Formula</t>
        </is>
      </c>
      <c r="F16" s="2" t="inlineStr">
        <is>
          <t>Unallocated remainder; do not infer milestone split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75" customWidth="1" min="3" max="3"/>
    <col width="32" customWidth="1" min="4" max="4"/>
    <col width="82" customWidth="1" min="5" max="5"/>
  </cols>
  <sheetData>
    <row r="1" ht="28" customHeight="1">
      <c r="A1" s="6" t="inlineStr">
        <is>
          <t>Requirement / work package</t>
        </is>
      </c>
      <c r="B1" s="6" t="inlineStr">
        <is>
          <t>Current evidence</t>
        </is>
      </c>
      <c r="C1" s="6" t="inlineStr">
        <is>
          <t>Target behavior / requirement</t>
        </is>
      </c>
      <c r="D1" s="6" t="inlineStr">
        <is>
          <t>Estimate status</t>
        </is>
      </c>
      <c r="E1" s="6" t="inlineStr">
        <is>
          <t>Open input / gate</t>
        </is>
      </c>
    </row>
    <row r="2" ht="55" customHeight="1">
      <c r="A2" s="2" t="inlineStr">
        <is>
          <t>One-page workspace and graph modes</t>
        </is>
      </c>
      <c r="B2" s="2" t="inlineStr">
        <is>
          <t>The root route currently renders network, coordinator, and proposal sections vertically. Config state defines network/platform/dependencies values, but no mode-switch use was found.</t>
        </is>
      </c>
      <c r="C2" s="2" t="inlineStr">
        <is>
          <t>One page with explicit switching among network graph, feature graph, and DEPENDENCIES/MIX view; graph layers can be toggled.</t>
        </is>
      </c>
      <c r="D2" s="3" t="inlineStr">
        <is>
          <t>TBD — no role-hour breakdown</t>
        </is>
      </c>
      <c r="E2" s="18" t="inlineStr">
        <is>
          <t>Confirm final visible label and any required keyboard/touch behavior during UI review.</t>
        </is>
      </c>
    </row>
    <row r="3" ht="40" customHeight="1">
      <c r="A3" s="2" t="inlineStr">
        <is>
          <t>FUNCTION → FEATURE interaction</t>
        </is>
      </c>
      <c r="B3" s="2" t="inlineStr">
        <is>
          <t>The proposal catalog has service dependency IDs; there is no separate FUNCTION entity or function-to-feature map.</t>
        </is>
      </c>
      <c r="C3" s="2" t="inlineStr">
        <is>
          <t>Selecting a function opens a non-full-screen feature frame; approving the feature accepts it and all linked functions.</t>
        </is>
      </c>
      <c r="D3" s="3" t="inlineStr">
        <is>
          <t>TBD — new interaction/workflow</t>
        </is>
      </c>
      <c r="E3" s="18" t="inlineStr">
        <is>
          <t>Define the demo function set and the blank client-request template fields.</t>
        </is>
      </c>
    </row>
    <row r="4" ht="40" customHeight="1">
      <c r="A4" s="2" t="inlineStr">
        <is>
          <t>Feature cancellation and loss confirmation</t>
        </is>
      </c>
      <c r="B4" s="2" t="inlineStr">
        <is>
          <t>Current feature helper toggles one feature ID and does not cascade related function choices.</t>
        </is>
      </c>
      <c r="C4" s="2" t="inlineStr">
        <is>
          <t>Cancellation shows lost functionality and asks for confirmation; only confirmed cancellation removes the feature and linked functions.</t>
        </is>
      </c>
      <c r="D4" s="3" t="inlineStr">
        <is>
          <t>TBD — new interaction/workflow</t>
        </is>
      </c>
      <c r="E4" s="18" t="inlineStr">
        <is>
          <t>Specify whether the warning has cancel/confirm actions and how selections are restored.</t>
        </is>
      </c>
    </row>
    <row r="5" ht="40" customHeight="1">
      <c r="A5" s="2" t="inlineStr">
        <is>
          <t>Client-request function templates</t>
        </is>
      </c>
      <c r="B5" s="2" t="inlineStr">
        <is>
          <t>No blank function-template model was found in proposal config.</t>
        </is>
      </c>
      <c r="C5" s="2" t="inlineStr">
        <is>
          <t>Keep editable blank templates separate from demonstration functions; do not seed invented client requirements.</t>
        </is>
      </c>
      <c r="D5" s="3" t="inlineStr">
        <is>
          <t>TBD — content and UI</t>
        </is>
      </c>
      <c r="E5" s="18" t="inlineStr">
        <is>
          <t>Template fields need confirmation after the demo catalog is mapped.</t>
        </is>
      </c>
    </row>
    <row r="6" ht="55" customHeight="1">
      <c r="A6" s="2" t="inlineStr">
        <is>
          <t>Live table-backed graph</t>
        </is>
      </c>
      <c r="B6" s="2" t="inlineStr">
        <is>
          <t>Network server function reads local experts.json; generated Supabase Database type has no application tables; access contract says final source of truth/import are unapproved.</t>
        </is>
      </c>
      <c r="C6" s="2" t="inlineStr">
        <is>
          <t>Graph reflects authorized table changes on refresh or a defined live-update mechanism.</t>
        </is>
      </c>
      <c r="D6" s="3" t="inlineStr">
        <is>
          <t>TBD — architecture and implementation</t>
        </is>
      </c>
      <c r="E6" s="18" t="inlineStr">
        <is>
          <t>Choose existing project/environment, source-of-truth, schema, refresh semantics, RLS, and migration permission. No data was imported.</t>
        </is>
      </c>
    </row>
    <row r="7" ht="55" customHeight="1">
      <c r="A7" s="2" t="inlineStr">
        <is>
          <t>Operator-only visit IP records</t>
        </is>
      </c>
      <c r="B7" s="2" t="inlineStr">
        <is>
          <t>No IP collection/logging code was found in src.</t>
        </is>
      </c>
      <c r="C7" s="2" t="inlineStr">
        <is>
          <t>Keep visitor network addresses out of the visitor UI and restrict access to authorized operator(s).</t>
        </is>
      </c>
      <c r="D7" s="3" t="inlineStr">
        <is>
          <t>TBD — data handling and operations</t>
        </is>
      </c>
      <c r="E7" s="18" t="inlineStr">
        <is>
          <t>Before implementation decide legal notice/basis, retention, access audit, secure storage, and deletion process. No collection is being added in this slice.</t>
        </is>
      </c>
    </row>
    <row r="8" ht="55" customHeight="1">
      <c r="A8" s="2" t="inlineStr">
        <is>
          <t>Trust / Influence / Projects signals</t>
        </is>
      </c>
      <c r="B8" s="2" t="inlineStr">
        <is>
          <t>Trust is a heuristic; the current replay changes demo verification state. No source-backed Influence or Projects score fields were found.</t>
        </is>
      </c>
      <c r="C8" s="2" t="inlineStr">
        <is>
          <t>Label prototype status; do not show fabricated numeric scores or use them for access/selection.</t>
        </is>
      </c>
      <c r="D8" s="3" t="inlineStr">
        <is>
          <t>TBD — methodology and data source</t>
        </is>
      </c>
      <c r="E8" s="18" t="inlineStr">
        <is>
          <t>Define objective evidence, metrics, corrections/appeals, and provenance before numerical displays.</t>
        </is>
      </c>
    </row>
    <row r="9" ht="40" customHeight="1">
      <c r="A9" s="2" t="inlineStr">
        <is>
          <t>Fixed core plus variable features</t>
        </is>
      </c>
      <c r="B9" s="2" t="inlineStr">
        <is>
          <t>Current proposal sums static service prices; no non-disableable cost base or function-level effort estimates.</t>
        </is>
      </c>
      <c r="C9" s="2" t="inlineStr">
        <is>
          <t>Price unavoidable architecture/team separately; feature work follows dependency-aware effort estimates.</t>
        </is>
      </c>
      <c r="D9" s="3" t="inlineStr">
        <is>
          <t>TBD — requires reviewed work breakdown</t>
        </is>
      </c>
      <c r="E9" s="18" t="inlineStr">
        <is>
          <t>Confirm historical 620 hours are only a comparison baseline, not the new estimate.</t>
        </is>
      </c>
    </row>
    <row r="10" ht="40" customHeight="1">
      <c r="A10" s="2" t="inlineStr">
        <is>
          <t>Managed SaaS and external usage</t>
        </is>
      </c>
      <c r="B10" s="2" t="inlineStr">
        <is>
          <t>No production hosting/data source or expected load is fixed.</t>
        </is>
      </c>
      <c r="C10" s="2" t="inlineStr">
        <is>
          <t>Separate recurring platform/support/maintenance/optional PM from AI/OSINT and other metered pass-through costs.</t>
        </is>
      </c>
      <c r="D10" s="3" t="inlineStr">
        <is>
          <t>TBD — scenario inputs</t>
        </is>
      </c>
      <c r="E10" s="18" t="inlineStr">
        <is>
          <t>Users/tenants/requests/storage/retention, support hours, provider selection, margin/tax, and currency.</t>
        </is>
      </c>
    </row>
    <row r="11" ht="40" customHeight="1">
      <c r="A11" s="2" t="inlineStr">
        <is>
          <t>Partnership and source-code transfer</t>
        </is>
      </c>
      <c r="B11" s="2" t="inlineStr">
        <is>
          <t>Existing document treats recipient/share and transfer rights as open commercial/legal choices.</t>
        </is>
      </c>
      <c r="C11" s="2" t="inlineStr">
        <is>
          <t>Keep revenue share/recipient variable; make IP transfer highest-priced alternative, rights explicitly defined.</t>
        </is>
      </c>
      <c r="D11" s="3" t="inlineStr">
        <is>
          <t>TBD — not numerically priced</t>
        </is>
      </c>
      <c r="E11" s="18" t="inlineStr">
        <is>
          <t>No share %, recipient, exclusivity, reuse rights, or buyout factor set.</t>
        </is>
      </c>
    </row>
    <row r="12" ht="40" customHeight="1">
      <c r="A12" t="inlineStr">
        <is>
          <t>Presentation demo access credential</t>
        </is>
      </c>
      <c r="B12" t="inlineStr">
        <is>
          <t>resolveAccess() contains a hard-coded fallback coordinator credential in src/lib/experts.server.ts; no value is reproduced here.</t>
        </is>
      </c>
      <c r="C12" t="inlineStr">
        <is>
          <t>No source-code fallback; without configured secret, access stays at guest level. Treat the exposed fallback as compromised.</t>
        </is>
      </c>
      <c r="D12" t="inlineStr">
        <is>
          <t>Security gate; not yet modified</t>
        </is>
      </c>
      <c r="E12" t="inlineStr">
        <is>
          <t>Before external sharing, remove fallback and confirm how authorized coordinator access is supplied outside source control.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39" customWidth="1" min="3" max="3"/>
    <col width="90" customWidth="1" min="4" max="4"/>
    <col width="44" customWidth="1" min="5" max="5"/>
    <col width="56" customWidth="1" min="6" max="6"/>
    <col width="36" customWidth="1" min="7" max="7"/>
    <col width="88" customWidth="1" min="8" max="8"/>
  </cols>
  <sheetData>
    <row r="1" ht="30" customHeight="1">
      <c r="A1" s="25" t="inlineStr">
        <is>
          <t>Recommended core and optional boundary — review before new effort estimates</t>
        </is>
      </c>
    </row>
    <row r="2" ht="32" customHeight="1">
      <c r="A2" s="26" t="inlineStr">
        <is>
          <t>Market comparison is based on published capability lists from Circle, Hivebrite, Viva Engage and Salesforce Experience Cloud. These are examples, not a universal standard. No historical hours or old package prices are used as new estimate inputs.</t>
        </is>
      </c>
    </row>
    <row r="3" ht="34" customHeight="1">
      <c r="A3" s="27" t="inlineStr">
        <is>
          <t>Cost treatment</t>
        </is>
      </c>
      <c r="B3" s="27" t="inlineStr">
        <is>
          <t>Feature ID</t>
        </is>
      </c>
      <c r="C3" s="27" t="inlineStr">
        <is>
          <t>Feature / module</t>
        </is>
      </c>
      <c r="D3" s="27" t="inlineStr">
        <is>
          <t>Candidate functions</t>
        </is>
      </c>
      <c r="E3" s="27" t="inlineStr">
        <is>
          <t>Prerequisites / dependencies</t>
        </is>
      </c>
      <c r="F3" s="27" t="inlineStr">
        <is>
          <t>Evidence and basis</t>
        </is>
      </c>
      <c r="G3" s="27" t="inlineStr">
        <is>
          <t>Estimate readiness</t>
        </is>
      </c>
      <c r="H3" s="27" t="inlineStr">
        <is>
          <t>Boundary or unresolved decision</t>
        </is>
      </c>
    </row>
    <row r="4" ht="57" customHeight="1">
      <c r="A4" s="28" t="inlineStr">
        <is>
          <t>Fixed core</t>
        </is>
      </c>
      <c r="B4" s="29" t="inlineStr">
        <is>
          <t>core-access</t>
        </is>
      </c>
      <c r="C4" s="29" t="inlineStr">
        <is>
          <t>Access, consent, security and audit</t>
        </is>
      </c>
      <c r="D4" s="29" t="inlineStr">
        <is>
          <t>Least-privilege role checks; guest/member disclosure; consent and retention controls; encrypted transport/storage requirements; audit sensitive reads/writes; incident and deletion controls.</t>
        </is>
      </c>
      <c r="E4" s="29" t="inlineStr">
        <is>
          <t>Identity and tenant model; threat model; operator roles.</t>
        </is>
      </c>
      <c r="F4" s="29" t="inlineStr">
        <is>
          <t>User-approved access direction; Access Contract; CIRCLE-SEC; HIVE-SEC; SALESFORCE-GUEST.</t>
        </is>
      </c>
      <c r="G4" s="29" t="inlineStr">
        <is>
          <t>Fixed core; security requirements not costed yet</t>
        </is>
      </c>
      <c r="H4" s="29" t="inlineStr">
        <is>
          <t>Baseline application/data security is core. End-to-end encrypted member messaging is not established by the cited sources and needs a separate threat-model decision.</t>
        </is>
      </c>
    </row>
    <row r="5" ht="57" customHeight="1">
      <c r="A5" s="28" t="inlineStr">
        <is>
          <t>Fixed core</t>
        </is>
      </c>
      <c r="B5" s="29" t="inlineStr">
        <is>
          <t>core-data-operator</t>
        </is>
      </c>
      <c r="C5" s="29" t="inlineStr">
        <is>
          <t>Live data and operator workspace</t>
        </is>
      </c>
      <c r="D5" s="29" t="inlineStr">
        <is>
          <t>Authorized source-of-truth; operator CRUD/review; evidence and profile updates; change history; graph reflects approved data changes.</t>
        </is>
      </c>
      <c r="E5" s="29" t="inlineStr">
        <is>
          <t>Database/environment; schema; RLS; access and audit.</t>
        </is>
      </c>
      <c r="F5" s="29" t="inlineStr">
        <is>
          <t>User-approved live-table requirement; current network.functions.ts reads local experts.json; Supabase types currently have no application tables.</t>
        </is>
      </c>
      <c r="G5" s="29" t="inlineStr">
        <is>
          <t>Fixed core; blocked on architecture inputs</t>
        </is>
      </c>
      <c r="H5" s="29" t="inlineStr">
        <is>
          <t>Choose project/environment, source of truth, schema, refresh semantics, RLS and any migration/import permission. No CRM import is approved.</t>
        </is>
      </c>
    </row>
    <row r="6" ht="57" customHeight="1">
      <c r="A6" s="28" t="inlineStr">
        <is>
          <t>Fixed core for ISRM experience</t>
        </is>
      </c>
      <c r="B6" s="29" t="inlineStr">
        <is>
          <t>core-network-workspace</t>
        </is>
      </c>
      <c r="C6" s="29" t="inlineStr">
        <is>
          <t>One-page network and feature workspace</t>
        </is>
      </c>
      <c r="D6" s="29" t="inlineStr">
        <is>
          <t>Explicit NETWORK / PLATFORM CONFIGURATOR / DEPENDENCIES modes; expert/feature graph; toggleable layers; filters, sectors, territories and network panels; touch/keyboard support; text graph equivalent.</t>
        </is>
      </c>
      <c r="E6" s="29" t="inlineStr">
        <is>
          <t>Live data; expert search; approved graph entities.</t>
        </is>
      </c>
      <c r="F6" s="29" t="inlineStr">
        <is>
          <t>User-approved interaction requirements; current proposal-config.ts defines modes/layers but root route is vertically stacked.</t>
        </is>
      </c>
      <c r="G6" s="29" t="inlineStr">
        <is>
          <t>ISRM differentiator; fixed-core candidate</t>
        </is>
      </c>
      <c r="H6" s="29" t="inlineStr">
        <is>
          <t>This is part of the selected ISRM experience, not a universal community-platform requirement. Validate panel count, labels and mobile behavior.</t>
        </is>
      </c>
    </row>
    <row r="7" ht="57" customHeight="1">
      <c r="A7" s="28" t="inlineStr">
        <is>
          <t>Separate pre-contract tooling</t>
        </is>
      </c>
      <c r="B7" s="29" t="inlineStr">
        <is>
          <t>core-configurator-pdf</t>
        </is>
      </c>
      <c r="C7" s="29" t="inlineStr">
        <is>
          <t>Function-to-feature configurator and validated-scope PDF</t>
        </is>
      </c>
      <c r="D7" s="29" t="inlineStr">
        <is>
          <t>Function dossier; feature/function selection and cancellation warning; dependencies; stack confirmation; planning range; PDF and approval/request capture.</t>
        </is>
      </c>
      <c r="E7" s="29" t="inlineStr">
        <is>
          <t>Approved function-feature map; estimate engine; PDF/submission; access.</t>
        </is>
      </c>
      <c r="F7" s="29" t="inlineStr">
        <is>
          <t>User-approved configurator and working-scope PDF requirement; current proposal route is a local demo and contains static prices.</t>
        </is>
      </c>
      <c r="G7" s="29" t="inlineStr">
        <is>
          <t>Separate workstream; not community-platform core</t>
        </is>
      </c>
      <c r="H7" s="29" t="inlineStr">
        <is>
          <t>Treat as proposal/scope-generation tooling, not a non-removable capability of the commissioned community. PDF is not a contract. Payment/IP choices affect the commercial offer.</t>
        </is>
      </c>
    </row>
    <row r="8" ht="57" customHeight="1">
      <c r="A8" s="30" t="inlineStr">
        <is>
          <t>Fixed core — domain requirement</t>
        </is>
      </c>
      <c r="B8" s="29" t="inlineStr">
        <is>
          <t>expert-search</t>
        </is>
      </c>
      <c r="C8" s="29" t="inlineStr">
        <is>
          <t>Expert search and dossiers</t>
        </is>
      </c>
      <c r="D8" s="29" t="inlineStr">
        <is>
          <t>Search by expertise, geography, sector and experience; show privacy-aware profile and evidence; control field visibility by role/consent.</t>
        </is>
      </c>
      <c r="E8" s="29" t="inlineStr">
        <is>
          <t>Access/consent; live data; verified expertise vocabulary.</t>
        </is>
      </c>
      <c r="F8" s="29" t="inlineStr">
        <is>
          <t>Current SERVICE_CATALOG entry `expert-search`; user-approved network graph/search direction; CIRCLE-CAP; HIVE-CAP.</t>
        </is>
      </c>
      <c r="G8" s="29" t="inlineStr">
        <is>
          <t>Fixed core; function design review needed</t>
        </is>
      </c>
      <c r="H8" s="29" t="inlineStr">
        <is>
          <t>Generic directories do not verify expertise. Keep evidence/provenance in the core; exact checks and fields remain to be agreed.</t>
        </is>
      </c>
    </row>
    <row r="9" ht="42" customHeight="1">
      <c r="A9" s="30" t="inlineStr">
        <is>
          <t>Optional advanced module</t>
        </is>
      </c>
      <c r="B9" s="29" t="inlineStr">
        <is>
          <t>service-war-room</t>
        </is>
      </c>
      <c r="C9" s="29" t="inlineStr">
        <is>
          <t>Network map and War Room</t>
        </is>
      </c>
      <c r="D9" s="29" t="inlineStr">
        <is>
          <t>Advanced situational context; alert ownership; operational coordination; external World Monitor hand-off.</t>
        </is>
      </c>
      <c r="E9" s="29" t="inlineStr">
        <is>
          <t>Core directory/graph; live data; access rules; optional external source.</t>
        </is>
      </c>
      <c r="F9" s="29" t="inlineStr">
        <is>
          <t>Current SERVICE_CATALOG entry `service-war-room`; declared dependency on `expert-search`.</t>
        </is>
      </c>
      <c r="G9" s="29" t="inlineStr">
        <is>
          <t>Optional; estimate delta only</t>
        </is>
      </c>
      <c r="H9" s="29" t="inlineStr">
        <is>
          <t>Basic expert/network graph is in core. Advanced War Room workflows and external integration are removable scope.</t>
        </is>
      </c>
    </row>
    <row r="10" ht="57" customHeight="1">
      <c r="A10" s="30" t="inlineStr">
        <is>
          <t>Optional advanced module; basic opportunities stay in core</t>
        </is>
      </c>
      <c r="B10" s="29" t="inlineStr">
        <is>
          <t>service-projects</t>
        </is>
      </c>
      <c r="C10" s="29" t="inlineStr">
        <is>
          <t>Advanced project management and expert-request workflows</t>
        </is>
      </c>
      <c r="D10" s="29" t="inlineStr">
        <is>
          <t>Multi-stage project/request workflows, task ownership, approvals, invitation orchestration and project records beyond basic group posts/opportunities.</t>
        </is>
      </c>
      <c r="E10" s="29" t="inlineStr">
        <is>
          <t>Core directory, groups, access and audit.</t>
        </is>
      </c>
      <c r="F10" s="29" t="inlineStr">
        <is>
          <t>Current SERVICE_CATALOG entry `service-projects`; declared dependency on `expert-search`; user distinguished complex project management as optional.</t>
        </is>
      </c>
      <c r="G10" s="29" t="inlineStr">
        <is>
          <t>Optional; estimate delta only</t>
        </is>
      </c>
      <c r="H10" s="29" t="inlineStr">
        <is>
          <t>Keep lightweight opportunity/activity sharing in core groups. Scope the complex PM workflow separately.</t>
        </is>
      </c>
    </row>
    <row r="11" ht="57" customHeight="1">
      <c r="A11" s="30" t="inlineStr">
        <is>
          <t>Optional automation extension; basic growth is core</t>
        </is>
      </c>
      <c r="B11" s="29" t="inlineStr">
        <is>
          <t>service-recruitment</t>
        </is>
      </c>
      <c r="C11" s="29" t="inlineStr">
        <is>
          <t>Recruitment campaign automation</t>
        </is>
      </c>
      <c r="D11" s="29" t="inlineStr">
        <is>
          <t>Sector/territory campaign administration; channel integrations; bulk outreach; AI-assisted triage at scale.</t>
        </is>
      </c>
      <c r="E11" s="29" t="inlineStr">
        <is>
          <t>Core member-growth pipeline; consent; approved providers.</t>
        </is>
      </c>
      <c r="F11" s="29" t="inlineStr">
        <is>
          <t>Current `service-recruitment` catalog plus user-approved active recruitment and AI-assisted checks.</t>
        </is>
      </c>
      <c r="G11" s="29" t="inlineStr">
        <is>
          <t>Optional automation; core human-controlled growth included</t>
        </is>
      </c>
      <c r="H11" s="29" t="inlineStr">
        <is>
          <t>Core includes intake, source attribution, objective evidence review and onboarding. AI does not independently verify a person; messaging automation and vendors are separate.</t>
        </is>
      </c>
    </row>
    <row r="12" ht="42" customHeight="1">
      <c r="A12" s="30" t="inlineStr">
        <is>
          <t>Optional advanced module</t>
        </is>
      </c>
      <c r="B12" s="29" t="inlineStr">
        <is>
          <t>service-research</t>
        </is>
      </c>
      <c r="C12" s="29" t="inlineStr">
        <is>
          <t>Expert discussions and research</t>
        </is>
      </c>
      <c r="D12" s="29" t="inlineStr">
        <is>
          <t>Question briefs; participant composition; evidence packs; synthesis with caveats and dissent.</t>
        </is>
      </c>
      <c r="E12" s="29" t="inlineStr">
        <is>
          <t>Core directory/groups; source and attribution rules.</t>
        </is>
      </c>
      <c r="F12" s="29" t="inlineStr">
        <is>
          <t>Current SERVICE_CATALOG entry `service-research`; declared dependency on `expert-search`.</t>
        </is>
      </c>
      <c r="G12" s="29" t="inlineStr">
        <is>
          <t>Optional; estimate delta only</t>
        </is>
      </c>
      <c r="H12" s="29" t="inlineStr">
        <is>
          <t>Facilitated research and decision-ready synthesis are not baseline community functions.</t>
        </is>
      </c>
    </row>
    <row r="13" ht="57" customHeight="1">
      <c r="A13" s="30" t="inlineStr">
        <is>
          <t>Optional advanced module</t>
        </is>
      </c>
      <c r="B13" s="29" t="inlineStr">
        <is>
          <t>service-public-engagement</t>
        </is>
      </c>
      <c r="C13" s="29" t="inlineStr">
        <is>
          <t>Public campaigns and hearings</t>
        </is>
      </c>
      <c r="D13" s="29" t="inlineStr">
        <is>
          <t>Public engagement plans; stakeholder mapping; submissions; moderation and response matrices.</t>
        </is>
      </c>
      <c r="E13" s="29" t="inlineStr">
        <is>
          <t>Core groups; accessibility, safeguarding and moderation policy.</t>
        </is>
      </c>
      <c r="F13" s="29" t="inlineStr">
        <is>
          <t>Current SERVICE_CATALOG entry `service-public-engagement`; declared dependency on `service-projects`.</t>
        </is>
      </c>
      <c r="G13" s="29" t="inlineStr">
        <is>
          <t>Optional; estimate delta only</t>
        </is>
      </c>
      <c r="H13" s="29" t="inlineStr">
        <is>
          <t>A specialist public-engagement workflow, not basic community discussion.</t>
        </is>
      </c>
    </row>
    <row r="14" ht="57" customHeight="1">
      <c r="A14" s="30" t="inlineStr">
        <is>
          <t>Optional advanced module</t>
        </is>
      </c>
      <c r="B14" s="29" t="inlineStr">
        <is>
          <t>service-leads</t>
        </is>
      </c>
      <c r="C14" s="29" t="inlineStr">
        <is>
          <t>Consulting lead generation</t>
        </is>
      </c>
      <c r="D14" s="29" t="inlineStr">
        <is>
          <t>External needs intake; qualification; candidate team assembly; commercial follow-up.</t>
        </is>
      </c>
      <c r="E14" s="29" t="inlineStr">
        <is>
          <t>Core expert directory; separately agreed commercial process.</t>
        </is>
      </c>
      <c r="F14" s="29" t="inlineStr">
        <is>
          <t>Current SERVICE_CATALOG entry `service-leads`; declared dependencies on `expert-search` and `service-projects`.</t>
        </is>
      </c>
      <c r="G14" s="29" t="inlineStr">
        <is>
          <t>Optional; estimate delta only</t>
        </is>
      </c>
      <c r="H14" s="29" t="inlineStr">
        <is>
          <t>Lead sources, qualification criteria and commercial ownership remain open.</t>
        </is>
      </c>
    </row>
    <row r="15" ht="57" customHeight="1">
      <c r="A15" s="30" t="inlineStr">
        <is>
          <t>Optional campaign extension; ordinary updates are core</t>
        </is>
      </c>
      <c r="B15" s="29" t="inlineStr">
        <is>
          <t>service-news-alerts</t>
        </is>
      </c>
      <c r="C15" s="29" t="inlineStr">
        <is>
          <t>Advanced news and alert campaigns</t>
        </is>
      </c>
      <c r="D15" s="29" t="inlineStr">
        <is>
          <t>Editorial workflow; segmented campaigns; delivery/acknowledgement reporting and provider automation.</t>
        </is>
      </c>
      <c r="E15" s="29" t="inlineStr">
        <is>
          <t>Core groups, preferences, notifications and admin roles.</t>
        </is>
      </c>
      <c r="F15" s="29" t="inlineStr">
        <is>
          <t>Current SERVICE_CATALOG entry `service-news-alerts`; baseline notification/content functions appear across CIRCLE-CAP, HIVE-CAP and VIVA-ADMIN.</t>
        </is>
      </c>
      <c r="G15" s="29" t="inlineStr">
        <is>
          <t>Optional automation; basic comms included in core</t>
        </is>
      </c>
      <c r="H15" s="29" t="inlineStr">
        <is>
          <t>Do not double-count core announcements, digests and member notifications. Editorial policy and providers remain open.</t>
        </is>
      </c>
    </row>
    <row r="16" ht="57" customHeight="1">
      <c r="A16" s="30" t="inlineStr">
        <is>
          <t>Optional event-operations extension; basic community events are core</t>
        </is>
      </c>
      <c r="B16" s="29" t="inlineStr">
        <is>
          <t>service-meetings</t>
        </is>
      </c>
      <c r="C16" s="29" t="inlineStr">
        <is>
          <t>Advanced meeting and field-event operations</t>
        </is>
      </c>
      <c r="D16" s="29" t="inlineStr">
        <is>
          <t>Complex conference/onsite logistics, check-in, external calendar workflow, venue and follow-up coordination.</t>
        </is>
      </c>
      <c r="E16" s="29" t="inlineStr">
        <is>
          <t>Core group events/RSVP; optional provider/calendar integrations.</t>
        </is>
      </c>
      <c r="F16" s="29" t="inlineStr">
        <is>
          <t>Current SERVICE_CATALOG entry `service-meetings`; events and RSVP are listed by CIRCLE-CAP and HIVE-CAP.</t>
        </is>
      </c>
      <c r="G16" s="29" t="inlineStr">
        <is>
          <t>Optional extension; basic event function included in core</t>
        </is>
      </c>
      <c r="H16" s="29" t="inlineStr">
        <is>
          <t>Separate routine online community events from Nomad/on-site logistics and vendor integrations.</t>
        </is>
      </c>
    </row>
    <row r="17" ht="57" customHeight="1">
      <c r="A17" s="30" t="inlineStr">
        <is>
          <t>Optional AI/OSINT production module</t>
        </is>
      </c>
      <c r="B17" s="29" t="inlineStr">
        <is>
          <t>service-ai-osint</t>
        </is>
      </c>
      <c r="C17" s="29" t="inlineStr">
        <is>
          <t>AI/OSINT discovery and controls</t>
        </is>
      </c>
      <c r="D17" s="29" t="inlineStr">
        <is>
          <t>Bounded source-cited workflow; approved sources; human review; privacy controls; audit.</t>
        </is>
      </c>
      <c r="E17" s="29" t="inlineStr">
        <is>
          <t>Core access/audit; approved use case, data sources and provider.</t>
        </is>
      </c>
      <c r="F17" s="29" t="inlineStr">
        <is>
          <t>Current SERVICE_CATALOG entry `service-ai-osint` explicitly separates discovery from production integration.</t>
        </is>
      </c>
      <c r="G17" s="29" t="inlineStr">
        <is>
          <t>Discovery can be scoped; production integration optional</t>
        </is>
      </c>
      <c r="H17" s="29" t="inlineStr">
        <is>
          <t>Model/provider, lawful purpose, data volume, retention and reviewer policy are not selected. No automated adverse decisions.</t>
        </is>
      </c>
    </row>
    <row r="18" ht="42" customHeight="1">
      <c r="A18" s="30" t="inlineStr">
        <is>
          <t>Optional advanced module</t>
        </is>
      </c>
      <c r="B18" s="29" t="inlineStr">
        <is>
          <t>service-partners</t>
        </is>
      </c>
      <c r="C18" s="29" t="inlineStr">
        <is>
          <t>Partner services marketplace</t>
        </is>
      </c>
      <c r="D18" s="29" t="inlineStr">
        <is>
          <t>Provider directory; service coverage/evidence; service requests; recommendation basis and feedback.</t>
        </is>
      </c>
      <c r="E18" s="29" t="inlineStr">
        <is>
          <t>Core groups/access; provider inventory and moderation policy.</t>
        </is>
      </c>
      <c r="F18" s="29" t="inlineStr">
        <is>
          <t>Current SERVICE_CATALOG entry `service-partners`.</t>
        </is>
      </c>
      <c r="G18" s="29" t="inlineStr">
        <is>
          <t>Optional; estimate delta only</t>
        </is>
      </c>
      <c r="H18" s="29" t="inlineStr">
        <is>
          <t>Partner data, verification and recommendation policy remain open.</t>
        </is>
      </c>
    </row>
    <row r="19" ht="42" customHeight="1">
      <c r="A19" s="30" t="inlineStr">
        <is>
          <t>Optional advanced module</t>
        </is>
      </c>
      <c r="B19" s="29" t="inlineStr">
        <is>
          <t>service-billing</t>
        </is>
      </c>
      <c r="C19" s="29" t="inlineStr">
        <is>
          <t>Billing and premium services</t>
        </is>
      </c>
      <c r="D19" s="29" t="inlineStr">
        <is>
          <t>Service catalog, billing rules, quote/approval, invoice and payment-provider integration.</t>
        </is>
      </c>
      <c r="E19" s="29" t="inlineStr">
        <is>
          <t>Core access and service catalog; finance/tax decisions; payment provider.</t>
        </is>
      </c>
      <c r="F19" s="29" t="inlineStr">
        <is>
          <t>Current SERVICE_CATALOG entry `service-billing`.</t>
        </is>
      </c>
      <c r="G19" s="29" t="inlineStr">
        <is>
          <t>Optional; estimate delta only</t>
        </is>
      </c>
      <c r="H19" s="29" t="inlineStr">
        <is>
          <t>Demo must not charge. Tax, payment provider, authorization and invoice requirements remain open.</t>
        </is>
      </c>
    </row>
    <row r="20" ht="57" customHeight="1">
      <c r="A20" s="31" t="inlineStr">
        <is>
          <t>Split: verification core; advanced metrics future</t>
        </is>
      </c>
      <c r="B20" s="29" t="inlineStr">
        <is>
          <t>trust-influence-projects</t>
        </is>
      </c>
      <c r="C20" s="29" t="inlineStr">
        <is>
          <t>Expert evidence, Trust/Influence and project signals</t>
        </is>
      </c>
      <c r="D20" s="29" t="inlineStr">
        <is>
          <t>Core: identity/expertise evidence, provenance, review and correction path. Future: influence from validated activity/reach and project outcome signals.</t>
        </is>
      </c>
      <c r="E20" s="29" t="inlineStr">
        <is>
          <t>Core member lifecycle and evidence model; future approved metrics and sources.</t>
        </is>
      </c>
      <c r="F20" s="29" t="inlineStr">
        <is>
          <t>User-approved future metric direction; current Trust is heuristic and Influence/Projects have no source-backed score fields.</t>
        </is>
      </c>
      <c r="G20" s="29" t="inlineStr">
        <is>
          <t>Core verification estimate required; advanced scores not estimated</t>
        </is>
      </c>
      <c r="H20" s="29" t="inlineStr">
        <is>
          <t>Do not present numeric scores until evidence, metrics, bias review, appeal/correction, provenance and AI role are approved. Project evidence capture does not require full project management.</t>
        </is>
      </c>
    </row>
    <row r="21" ht="42" customHeight="1">
      <c r="A21" s="31" t="inlineStr">
        <is>
          <t>Split: basic roles core; advanced progression future</t>
        </is>
      </c>
      <c r="B21" s="29" t="inlineStr">
        <is>
          <t>network-status-governance</t>
        </is>
      </c>
      <c r="C21" s="29" t="inlineStr">
        <is>
          <t>Group roles and status progression</t>
        </is>
      </c>
      <c r="D21" s="29" t="inlineStr">
        <is>
          <t>Core: member, group owner/moderator, operator/admin permissions. Future: regional/sectoral/network advancement and gamified status upgrades.</t>
        </is>
      </c>
      <c r="E21" s="29" t="inlineStr">
        <is>
          <t>Core access model; future verified evidence and approval rules.</t>
        </is>
      </c>
      <c r="F21" s="29" t="inlineStr">
        <is>
          <t>User-approved role/status concept; VIVA-ADMIN demonstrates scoped community admin controls.</t>
        </is>
      </c>
      <c r="G21" s="29" t="inlineStr">
        <is>
          <t>Basic roles core; progression not estimated</t>
        </is>
      </c>
      <c r="H21" s="29" t="inlineStr">
        <is>
          <t>Define who approves, what evidence is required, whether role names are final, and how conflicts/appeals are handled.</t>
        </is>
      </c>
    </row>
    <row r="22" ht="57" customHeight="1">
      <c r="A22" s="30" t="inlineStr">
        <is>
          <t>Optional / discovery first</t>
        </is>
      </c>
      <c r="B22" s="29" t="inlineStr">
        <is>
          <t>nomad-field-logistics</t>
        </is>
      </c>
      <c r="C22" s="29" t="inlineStr">
        <is>
          <t>Field operations and logistics</t>
        </is>
      </c>
      <c r="D22" s="29" t="inlineStr">
        <is>
          <t>Coordinate transfers, accommodation, conferences, local hearings and other in-person activity; connect approved providers/workflows.</t>
        </is>
      </c>
      <c r="E22" s="29" t="inlineStr">
        <is>
          <t>Core events/groups; optional partner marketplace; provider inventory and operations.</t>
        </is>
      </c>
      <c r="F22" s="29" t="inlineStr">
        <is>
          <t>User-described Nomad Network direction; current catalog covers partners/meetings but not full logistics scope.</t>
        </is>
      </c>
      <c r="G22" s="29" t="inlineStr">
        <is>
          <t>Discovery only until content/access is supplied</t>
        </is>
      </c>
      <c r="H22" s="29" t="inlineStr">
        <is>
          <t>Partner-site content and actual workflows are unverified; external integrations and operating responsibility are unknown.</t>
        </is>
      </c>
    </row>
    <row r="23" ht="57" customHeight="1">
      <c r="A23" s="31" t="inlineStr">
        <is>
          <t>Privacy / security gate</t>
        </is>
      </c>
      <c r="B23" s="29" t="inlineStr">
        <is>
          <t>visitor-ip-analytics</t>
        </is>
      </c>
      <c r="C23" s="29" t="inlineStr">
        <is>
          <t>Operator-only visitor network records</t>
        </is>
      </c>
      <c r="D23" s="29" t="inlineStr">
        <is>
          <t>Capture and display visitor IP/network records only in an authorized operator surface; restrict access; audit reads and deletion.</t>
        </is>
      </c>
      <c r="E23" s="29" t="inlineStr">
        <is>
          <t>Legal notice/basis; retention; secure storage; access audit; deletion procedure.</t>
        </is>
      </c>
      <c r="F23" s="29" t="inlineStr">
        <is>
          <t>User-approved request; no IP collection/logging code found in repository search.</t>
        </is>
      </c>
      <c r="G23" s="29" t="inlineStr">
        <is>
          <t>Blocked; not estimated</t>
        </is>
      </c>
      <c r="H23" s="29" t="inlineStr">
        <is>
          <t>Do not collect until privacy/legal and security decisions are documented. Operator-only visibility is not sufficient by itself.</t>
        </is>
      </c>
    </row>
    <row r="24" ht="42" customHeight="1">
      <c r="A24" s="31" t="inlineStr">
        <is>
          <t>Open product decision; separate from community core</t>
        </is>
      </c>
      <c r="B24" s="29" t="inlineStr">
        <is>
          <t>proposal-reviewer-identity</t>
        </is>
      </c>
      <c r="C24" s="29" t="inlineStr">
        <is>
          <t>Identify proposal reviewers</t>
        </is>
      </c>
      <c r="D24" s="29" t="inlineStr">
        <is>
          <t>Capture enough identity/organization information to know who reviews a scope PDF; potentially use conditional verification or full registration.</t>
        </is>
      </c>
      <c r="E24" s="29" t="inlineStr">
        <is>
          <t>Identity approach; data minimization; consent; access control.</t>
        </is>
      </c>
      <c r="F24" s="29" t="inlineStr">
        <is>
          <t>User-raised question about knowing who reviews a proposal.</t>
        </is>
      </c>
      <c r="G24" s="29" t="inlineStr">
        <is>
          <t>Not estimated until choice</t>
        </is>
      </c>
      <c r="H24" s="29" t="inlineStr">
        <is>
          <t>Choose conditional identification vs full account registration; decide required fields and verification.</t>
        </is>
      </c>
    </row>
    <row r="25" ht="57" customHeight="1">
      <c r="A25" s="33" t="inlineStr">
        <is>
          <t>Fixed core</t>
        </is>
      </c>
      <c r="B25" s="33" t="inlineStr">
        <is>
          <t>core-groups-collaboration</t>
        </is>
      </c>
      <c r="C25" s="33" t="inlineStr">
        <is>
          <t>Groups and member collaboration</t>
        </is>
      </c>
      <c r="D25" s="33" t="inlineStr">
        <is>
          <t>Create/join sectoral, territorial and thematic groups; member feed; discussions/comments/replies; searchable shared resources; role-controlled member messaging; basic group events and notifications.</t>
        </is>
      </c>
      <c r="E25" s="33" t="inlineStr">
        <is>
          <t>Core identity/access, privacy controls, group roles and moderation.</t>
        </is>
      </c>
      <c r="F25" s="33" t="inlineStr">
        <is>
          <t>Repeated capabilities in CIRCLE-CAP, HIVE-CAP and embedded community patterns in VIVA-ADMIN.</t>
        </is>
      </c>
      <c r="G25" s="33" t="inlineStr">
        <is>
          <t>Fixed core; avoid counting optional event/communications extensions twice.</t>
        </is>
      </c>
      <c r="H25" s="33" t="inlineStr">
        <is>
          <t>Define whether direct messages require end-to-end encryption; current vendor evidence establishes only standard platform security controls, not E2E.</t>
        </is>
      </c>
    </row>
    <row r="26" ht="72" customHeight="1">
      <c r="A26" s="33" t="inlineStr">
        <is>
          <t>Fixed core — ISRM domain requirement</t>
        </is>
      </c>
      <c r="B26" s="33" t="inlineStr">
        <is>
          <t>core-expert-evidence</t>
        </is>
      </c>
      <c r="C26" s="33" t="inlineStr">
        <is>
          <t>Expert verification and provenance</t>
        </is>
      </c>
      <c r="D26" s="33" t="inlineStr">
        <is>
          <t>Collect identity and expertise evidence; record source, reviewer, date and status; support correction/appeal; track re-check/expiry when relevant; use AI only to assist evidence extraction/triage.</t>
        </is>
      </c>
      <c r="E26" s="33" t="inlineStr">
        <is>
          <t>Core access, audit, consent and live operator workflow.</t>
        </is>
      </c>
      <c r="F26" s="33" t="inlineStr">
        <is>
          <t>User requirement that expert verification differentiates the network; generic member-directory capabilities in CIRCLE-CAP/HIVE-CAP do not establish expert verification.</t>
        </is>
      </c>
      <c r="G26" s="33" t="inlineStr">
        <is>
          <t>Fixed core; method and evidence sources need review.</t>
        </is>
      </c>
      <c r="H26" s="33" t="inlineStr">
        <is>
          <t>Set evidence classes and human authority; do not invent scores or imply AI alone certifies expertise.</t>
        </is>
      </c>
    </row>
    <row r="27" ht="57" customHeight="1">
      <c r="A27" s="33" t="inlineStr">
        <is>
          <t>Fixed core — growth lifecycle</t>
        </is>
      </c>
      <c r="B27" s="33" t="inlineStr">
        <is>
          <t>core-member-growth</t>
        </is>
      </c>
      <c r="C27" s="33" t="inlineStr">
        <is>
          <t>Recruitment, intake and onboarding</t>
        </is>
      </c>
      <c r="D27" s="33" t="inlineStr">
        <is>
          <t>Target experts by sector/territory; maintain source/consent; invite or accept applications; deduplicate; review evidence; onboard; guide a first contribution; record lifecycle state and referral/source.</t>
        </is>
      </c>
      <c r="E27" s="33" t="inlineStr">
        <is>
          <t>Core expert evidence, search, groups, consent and communication preferences.</t>
        </is>
      </c>
      <c r="F27" s="33" t="inlineStr">
        <is>
          <t>User-approved active expansion and onboarding; CIRCLE-CAP workflows; HIVE-CAP journeys; CRT-GROWTH onboarding.</t>
        </is>
      </c>
      <c r="G27" s="33" t="inlineStr">
        <is>
          <t>Fixed core; third-party outreach and AI automation are separate deltas.</t>
        </is>
      </c>
      <c r="H27" s="33" t="inlineStr">
        <is>
          <t>Define lawful lead sources, consent, verification owner and channel. Human reviewers remain responsible for decisions.</t>
        </is>
      </c>
    </row>
    <row r="28" ht="57" customHeight="1">
      <c r="A28" s="33" t="inlineStr">
        <is>
          <t>Fixed core — operating capability</t>
        </is>
      </c>
      <c r="B28" s="33" t="inlineStr">
        <is>
          <t>core-engagement-operations</t>
        </is>
      </c>
      <c r="C28" s="33" t="inlineStr">
        <is>
          <t>Group administration and engagement loop</t>
        </is>
      </c>
      <c r="D28" s="33" t="inlineStr">
        <is>
          <t>Assign group owners/moderators; set purpose and access; seed useful content/programs; route questions/comments to an owner; close response loops; track reach/participation and dormant groups; support targeted re-engagement.</t>
        </is>
      </c>
      <c r="E28" s="33" t="inlineStr">
        <is>
          <t>Core groups, notifications, moderator roles and analytics.</t>
        </is>
      </c>
      <c r="F28" s="33" t="inlineStr">
        <is>
          <t>VIVA-ADMIN; VIVA-ANALYTICS; CRT-GROWTH.</t>
        </is>
      </c>
      <c r="G28" s="33" t="inlineStr">
        <is>
          <t>Fixed core tools; operational staffing/content is a separate recurring service assumption.</t>
        </is>
      </c>
      <c r="H28" s="33" t="inlineStr">
        <is>
          <t>Software can expose and support the loop but cannot guarantee activity. Owner, response expectations, content plan and cadence require an operating model.</t>
        </is>
      </c>
    </row>
  </sheetData>
  <autoFilter ref="A3:H28"/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  <col width="75" customWidth="1" min="3" max="3"/>
    <col width="82" customWidth="1" min="4" max="4"/>
    <col width="48" customWidth="1" min="5" max="5"/>
    <col width="76" customWidth="1" min="6" max="6"/>
  </cols>
  <sheetData>
    <row r="1" ht="34" customHeight="1">
      <c r="A1" s="34" t="inlineStr">
        <is>
          <t>What belongs in the non-removable ISRM core? — external benchmark and critical boundary</t>
        </is>
      </c>
    </row>
    <row r="2" ht="38" customHeight="1">
      <c r="A2" s="26" t="inlineStr">
        <is>
          <t>Critical reading: comparable platforms show recurring capabilities, not a universal standard. ISRM also needs domain-specific expert evidence and active network operations; features alone cannot guarantee a living community.</t>
        </is>
      </c>
    </row>
    <row r="3" ht="34" customHeight="1">
      <c r="A3" s="27" t="inlineStr">
        <is>
          <t>Layer</t>
        </is>
      </c>
      <c r="B3" s="27" t="inlineStr">
        <is>
          <t>Published evidence</t>
        </is>
      </c>
      <c r="C3" s="27" t="inlineStr">
        <is>
          <t>Repeated capability / finding</t>
        </is>
      </c>
      <c r="D3" s="27" t="inlineStr">
        <is>
          <t>Recommendation for ISRM core boundary</t>
        </is>
      </c>
      <c r="E3" s="27" t="inlineStr">
        <is>
          <t>Pricing treatment</t>
        </is>
      </c>
      <c r="F3" s="27" t="inlineStr">
        <is>
          <t>Evidence limitation</t>
        </is>
      </c>
    </row>
    <row r="4" ht="57" customHeight="1">
      <c r="A4" s="30" t="inlineStr">
        <is>
          <t>Standalone community platforms</t>
        </is>
      </c>
      <c r="B4" s="29" t="inlineStr">
        <is>
          <t>CIRCLE-CAP; HIVE-CAP</t>
        </is>
      </c>
      <c r="C4" s="29" t="inlineStr">
        <is>
          <t>Across these examples: profiles/member directory, group spaces, feed/discussion, messaging, events, onboarding journeys/workflows and analytics. Some features are plan-dependent.</t>
        </is>
      </c>
      <c r="D4" s="29" t="inlineStr">
        <is>
          <t>Treat member identity, directory/search, groups, collaboration, basic messaging/events, admin, onboarding and engagement analytics as the generic platform baseline.</t>
        </is>
      </c>
      <c r="E4" s="29" t="inlineStr">
        <is>
          <t>Fixed core, subject to final functional limits.</t>
        </is>
      </c>
      <c r="F4" s="29" t="inlineStr">
        <is>
          <t>Two vendor capability lists are examples, not a universal industry standard. Do not infer exact depth, compliance or implementation effort from a feature list.</t>
        </is>
      </c>
    </row>
    <row r="5" ht="57" customHeight="1">
      <c r="A5" s="30" t="inlineStr">
        <is>
          <t>Embedded enterprise/community platforms</t>
        </is>
      </c>
      <c r="B5" s="29" t="inlineStr">
        <is>
          <t>VIVA-ADMIN; VIVA-ANALYTICS; SALESFORCE-EXP; SALESFORCE-GUEST</t>
        </is>
      </c>
      <c r="C5" s="29" t="inlineStr">
        <is>
          <t>Community functions can sit inside Teams or a CRM portal, with delegated moderators/admins, campaigns, analytics, CRM-connected data exposure and guest-access controls.</t>
        </is>
      </c>
      <c r="D5" s="29" t="inlineStr">
        <is>
          <t>Access control, operator/admin workflows and auditable data visibility belong in core whether standalone or embedded. A particular enterprise connector is optional until selected.</t>
        </is>
      </c>
      <c r="E5" s="29" t="inlineStr">
        <is>
          <t>Core capabilities fixed; connectors/integrations separate.</t>
        </is>
      </c>
      <c r="F5" s="29" t="inlineStr">
        <is>
          <t>Vendor documentation describes specific ecosystems and configured products, not a drop-in ISRM implementation.</t>
        </is>
      </c>
    </row>
    <row r="6" ht="57" customHeight="1">
      <c r="A6" s="30" t="inlineStr">
        <is>
          <t>Security and communications</t>
        </is>
      </c>
      <c r="B6" s="29" t="inlineStr">
        <is>
          <t>CIRCLE-SEC; HIVE-SEC; SALESFORCE-GUEST</t>
        </is>
      </c>
      <c r="C6" s="29" t="inlineStr">
        <is>
          <t>Published examples describe encryption at rest/in transit, role-based access, SSO/audit and least-privilege guest controls.</t>
        </is>
      </c>
      <c r="D6" s="29" t="inlineStr">
        <is>
          <t>Make access, data protection, privacy, audit, retention and secure transport non-removable. Define a threat model before asserting secure messaging or requiring E2E encryption.</t>
        </is>
      </c>
      <c r="E6" s="29" t="inlineStr">
        <is>
          <t>Baseline controls fixed; E2E or high-assurance requirements are explicit scope deltas.</t>
        </is>
      </c>
      <c r="F6" s="29" t="inlineStr">
        <is>
          <t>These sources do not establish end-to-end encryption of community messages; absence of evidence is not proof a vendor cannot offer it.</t>
        </is>
      </c>
    </row>
    <row r="7" ht="57" customHeight="1">
      <c r="A7" s="30" t="inlineStr">
        <is>
          <t>Keeping groups active</t>
        </is>
      </c>
      <c r="B7" s="29" t="inlineStr">
        <is>
          <t>VIVA-ADMIN; VIVA-ANALYTICS; CRT-GROWTH</t>
        </is>
      </c>
      <c r="C7" s="29" t="inlineStr">
        <is>
          <t>Admin ownership, campaigns/announcements, onboarding, useful recurring content/programs, participation analytics and dormant-conversation signals support the operating loop.</t>
        </is>
      </c>
      <c r="D7" s="29" t="inlineStr">
        <is>
          <t>Include group ownership/moderation, onboarding, content/response workflows, basic events/notifications, engagement health and re-engagement tools in core. Price the human community-operations service separately.</t>
        </is>
      </c>
      <c r="E7" s="29" t="inlineStr">
        <is>
          <t>Core product capability plus separate recurring operations/staffing.</t>
        </is>
      </c>
      <c r="F7" s="29" t="inlineStr">
        <is>
          <t>Microsoft notes an association between admin engagement and success; it is not a causal guarantee. Community Roundtable recommendations are qualitative practice guidance.</t>
        </is>
      </c>
    </row>
    <row r="8" ht="57" customHeight="1">
      <c r="A8" s="30" t="inlineStr">
        <is>
          <t>ISRM-specific expert-network difference</t>
        </is>
      </c>
      <c r="B8" s="29" t="inlineStr">
        <is>
          <t>User requirements; current proposal catalog; CIRCLE-CAP; HIVE-CAP</t>
        </is>
      </c>
      <c r="C8" s="29" t="inlineStr">
        <is>
          <t>A searchable community directory is not the same as evidence-backed verification of a person’s identity and expertise.</t>
        </is>
      </c>
      <c r="D8" s="29" t="inlineStr">
        <is>
          <t>Treat evidence provenance, reviewer workflow, corrections/appeals and controlled expert onboarding as core differentiators. AI may assist; an authorized human/process owns verification.</t>
        </is>
      </c>
      <c r="E8" s="29" t="inlineStr">
        <is>
          <t>Fixed core; evidence providers/checks may be usage-based.</t>
        </is>
      </c>
      <c r="F8" s="29" t="inlineStr">
        <is>
          <t>No verified evidence classes, sources, expiry rules or score methodology have yet been approved.</t>
        </is>
      </c>
    </row>
    <row r="9" ht="57" customHeight="1">
      <c r="A9" s="30" t="inlineStr">
        <is>
          <t>Growth and network expansion</t>
        </is>
      </c>
      <c r="B9" s="29" t="inlineStr">
        <is>
          <t>User requirements; CIRCLE-CAP; HIVE-CAP; CRT-GROWTH</t>
        </is>
      </c>
      <c r="C9" s="29" t="inlineStr">
        <is>
          <t>Invitations, onboarding journeys, segmented communications, recommendations, content and activity programs are platform-supported growth mechanisms.</t>
        </is>
      </c>
      <c r="D9" s="29" t="inlineStr">
        <is>
          <t>Make a consent-aware sector/territory recruitment-to-onboarding pipeline core. Separate channel automation/provider costs and any large-scale AI screening.</t>
        </is>
      </c>
      <c r="E9" s="29" t="inlineStr">
        <is>
          <t>Core workflow fixed; automation and metered services as optional deltas.</t>
        </is>
      </c>
      <c r="F9" s="29" t="inlineStr">
        <is>
          <t>Software enables the process but does not create a sustainable member value proposition or guarantee recruitment/retention.</t>
        </is>
      </c>
    </row>
    <row r="10" ht="72" customHeight="1">
      <c r="A10" s="30" t="inlineStr">
        <is>
          <t>Basic activity vs advanced service modules</t>
        </is>
      </c>
      <c r="B10" s="29" t="inlineStr">
        <is>
          <t>Current SERVICE_CATALOG; user boundary</t>
        </is>
      </c>
      <c r="C10" s="29" t="inlineStr">
        <is>
          <t>Simple groups, posts, opportunities, discussion, and event notices support the community baseline; multi-step delivery workflows and operational services are deeper modules.</t>
        </is>
      </c>
      <c r="D10" s="29" t="inlineStr">
        <is>
          <t>Keep lightweight participation and opportunity sharing in core. Make advanced project management, War Room, research, public engagement, commercial lead generation, marketplace, billing, production AI/OSINT and field logistics removable.</t>
        </is>
      </c>
      <c r="E10" s="29" t="inlineStr">
        <is>
          <t>Optional modules priced by dependency-aware incremental effort; shared platform/team costs remain fixed.</t>
        </is>
      </c>
      <c r="F10" s="29" t="inlineStr">
        <is>
          <t>The exact cutoff between lightweight and advanced workflows needs the product owner’s approval.</t>
        </is>
      </c>
    </row>
    <row r="11" ht="57" customHeight="1">
      <c r="A11" s="31" t="inlineStr">
        <is>
          <t>Pre-contract proposal tooling</t>
        </is>
      </c>
      <c r="B11" s="29" t="inlineStr">
        <is>
          <t>User-approved configurator/PDF requirement; current proposal route</t>
        </is>
      </c>
      <c r="C11" s="29" t="inlineStr">
        <is>
          <t>Function-to-feature selection, price preview, working-scope PDF, approval and reviewer identity support sales/formalization; they are not ordinary member-community functions.</t>
        </is>
      </c>
      <c r="D11" s="29" t="inlineStr">
        <is>
          <t>Keep the configurator/PDF as a separate workstream or product-tooling line, not part of the non-removable ISRM community core.</t>
        </is>
      </c>
      <c r="E11" s="29" t="inlineStr">
        <is>
          <t>Separate one-time tooling cost; reviewer registration remains an open decision.</t>
        </is>
      </c>
      <c r="F11" s="29" t="inlineStr">
        <is>
          <t>Whether the proposal tool itself will be delivered to ISRM or only used internally is not yet confirmed.</t>
        </is>
      </c>
    </row>
    <row r="12" ht="57" customHeight="1">
      <c r="A12" s="31" t="inlineStr">
        <is>
          <t>Privacy-gated visitor logging</t>
        </is>
      </c>
      <c r="B12" s="29" t="inlineStr">
        <is>
          <t>User-approved operator-only IP request; no implementation found</t>
        </is>
      </c>
      <c r="C12" s="29" t="inlineStr">
        <is>
          <t>Collecting visitor IP creates a personal-data/security/retention workflow distinct from member-community functionality.</t>
        </is>
      </c>
      <c r="D12" s="29" t="inlineStr">
        <is>
          <t>Do not include as generic core or implement until purpose, notice/legal basis, retention, operator access/audit, secure storage and deletion are approved.</t>
        </is>
      </c>
      <c r="E12" s="29" t="inlineStr">
        <is>
          <t>Blocked optional operational item.</t>
        </is>
      </c>
      <c r="F12" s="29" t="inlineStr">
        <is>
          <t>This analysis is not legal advice; jurisdiction and controller/processor roles are unresolved.</t>
        </is>
      </c>
    </row>
  </sheetData>
  <autoFilter ref="A3:F12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34" t="inlineStr">
        <is>
          <t>Negotiation narrative — reuse commodity community capabilities</t>
        </is>
      </c>
    </row>
    <row r="2" ht="34" customHeight="1">
      <c r="A2" s="26" t="inlineStr">
        <is>
          <t>The purpose is to reject duplicate custom development and reserve budget for domain-specific gaps; license and lifecycle costs remain subject to verification.</t>
        </is>
      </c>
    </row>
    <row r="4" ht="45" customHeight="1">
      <c r="A4" s="35" t="inlineStr">
        <is>
          <t>Purpose</t>
        </is>
      </c>
      <c r="B4" s="29" t="inlineStr">
        <is>
          <t>Negotiation framing against duplicate custom development; not a claim that the complete solution has zero cost.</t>
        </is>
      </c>
    </row>
    <row r="5" ht="105" customHeight="1">
      <c r="A5" s="35" t="inlineStr">
        <is>
          <t>Українська — чернетка</t>
        </is>
      </c>
      <c r="B5" s="29" t="inlineStr">
        <is>
          <t>Базові можливості спільноти — профілі й каталог учасників, групи, обговорення, повідомлення, події, адміністрування та базова аналітика — вже реалізовані у готових платформах. Перед фінансуванням окремої розробки спершу варто використати рішення, що доступні без додаткової ліцензійної плати або вже включені до підписок замовника. Бюджет розробки слід спрямувати на підтверджені прогалини ISRM: доказову перевірку експертності, контрольоване розширення мережі, узгоджені правила доступу й роботи з даними, потрібну графову взаємодію та спеціалізовані сервісні процеси.</t>
        </is>
      </c>
    </row>
    <row r="6" ht="105" customHeight="1">
      <c r="A6" s="35" t="inlineStr">
        <is>
          <t>English — draft</t>
        </is>
      </c>
      <c r="B6" s="29" t="inlineStr">
        <is>
          <t>Baseline community capabilities—member profiles and directory, groups, discussions, messaging, events, administration, and basic analytics—already exist in ready-made platforms. Before funding custom development, first use options available at no additional licence charge or already included in the client’s subscriptions. Development budget should address verified ISRM gaps: evidence-backed expert validation, controlled network growth, agreed access and data rules, the required graph experience, and specialized service workflows.</t>
        </is>
      </c>
    </row>
    <row r="7" ht="60" customHeight="1">
      <c r="A7" s="35" t="inlineStr">
        <is>
          <t>Negotiation ask</t>
        </is>
      </c>
      <c r="B7" s="29" t="inlineStr">
        <is>
          <t>Use existing or no-additional-license tools for commodity community functions; do not charge for rebuilding them. Scope and price only the ISRM-specific gaps and the work required to integrate, configure, secure, migrate, operate, or extend the selected tools.</t>
        </is>
      </c>
    </row>
    <row r="8" ht="60" customHeight="1">
      <c r="A8" s="35" t="inlineStr">
        <is>
          <t>Evidence basis</t>
        </is>
      </c>
      <c r="B8" s="29" t="inlineStr">
        <is>
          <t>Capability examples: CIRCLE-CAP, HIVE-CAP, VIVA-ADMIN, VIVA-ANALYTICS, SALESFORCE-EXP. These establish that comparable capabilities exist; they do not prove that a specific option is free, included in the client’s current licence, or suitable for ISRM.</t>
        </is>
      </c>
    </row>
    <row r="9" ht="75" customHeight="1">
      <c r="A9" s="36" t="inlineStr">
        <is>
          <t>Internal qualification — do not omit</t>
        </is>
      </c>
      <c r="B9" s="29" t="inlineStr">
        <is>
          <t>“Free” means no additional licence charge for a verified option, not zero total cost. Confirm current entitlements and terms; assess data ownership/location, privacy, access controls and security; include configuration, migration, integration, hosting, support and operations where applicable. Free/open-source software can still create material implementation and lifecycle costs.</t>
        </is>
      </c>
    </row>
    <row r="10" ht="60" customHeight="1">
      <c r="A10" s="36" t="inlineStr">
        <is>
          <t>No-build-first rule</t>
        </is>
      </c>
      <c r="B10" s="29" t="inlineStr">
        <is>
          <t>For every baseline function, check existing ISRM/Microsoft/CRM/community licences and suitable free/open-source options before estimating custom code. Build only when a verified gap, security requirement, data-control constraint or essential ISRM differentiator cannot be met by reuse.</t>
        </is>
      </c>
    </row>
    <row r="11" ht="45" customHeight="1">
      <c r="A11" s="35" t="inlineStr">
        <is>
          <t>Limit</t>
        </is>
      </c>
      <c r="B11" s="29" t="inlineStr">
        <is>
          <t>This is a negotiation position supported by published product capability lists, not a universal market price statement or a promise that all comparable solutions are free.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65" customWidth="1" min="3" max="3"/>
    <col width="28" customWidth="1" min="4" max="4"/>
    <col width="42" customWidth="1" min="5" max="5"/>
    <col width="13" customWidth="1" min="6" max="6"/>
    <col width="13" customWidth="1" min="7" max="7"/>
    <col width="13" customWidth="1" min="8" max="8"/>
    <col width="68" customWidth="1" min="9" max="9"/>
    <col width="25" customWidth="1" min="10" max="10"/>
    <col width="25" customWidth="1" min="11" max="11"/>
  </cols>
  <sheetData>
    <row r="1" ht="30" customHeight="1">
      <c r="A1" s="25" t="inlineStr">
        <is>
          <t>Greenfield Estimate — Fixed ISRM Core</t>
        </is>
      </c>
    </row>
    <row r="2" ht="34" customHeight="1">
      <c r="A2" s="37" t="inlineStr">
        <is>
          <t>Planning slice only. One customer; bespoke delivery from a clean sheet. Existing code, vendor subscriptions and open-source tools receive no effort credit.</t>
        </is>
      </c>
    </row>
    <row r="3" ht="34" customHeight="1">
      <c r="A3" s="38" t="inlineStr">
        <is>
          <t>⚠ ASSUMPTION: hours are bottom-up planning inputs, not measured delivery data or a commitment. Low/base/high ranges reflect unresolved workflows, access rules, data ownership, integrations and acceptance detail.</t>
        </is>
      </c>
    </row>
    <row r="4" ht="34" customHeight="1">
      <c r="A4" s="38" t="inlineStr">
        <is>
          <t>Technical baseline for this slice: React + TypeScript web UI; managed PostgreSQL; OIDC identity; object storage; email notifications; a 2D graph library (Cytoscape/Sigma selection not final). A1/A2 describe candidates, not an approved production architecture.</t>
        </is>
      </c>
    </row>
    <row r="5" ht="44" customHeight="1">
      <c r="A5" s="38" t="inlineStr">
        <is>
          <t>Rate scenarios are gross provider-rate comparisons only: formulas use the Clutch published Ukraine/US upper endpoints in Inputs. They are not national maxima, supplier quotes, a final price or a cost-plus model; no FX, tax, reserve, profit, hosting, licences or AI usage is included.</t>
        </is>
      </c>
    </row>
    <row r="6" ht="48" customHeight="1">
      <c r="A6" s="39" t="inlineStr">
        <is>
          <t>WBS ID</t>
        </is>
      </c>
      <c r="B6" s="39" t="inlineStr">
        <is>
          <t>Work package</t>
        </is>
      </c>
      <c r="C6" s="39" t="inlineStr">
        <is>
          <t>Included scope / completion outcome</t>
        </is>
      </c>
      <c r="D6" s="39" t="inlineStr">
        <is>
          <t>Dependencies</t>
        </is>
      </c>
      <c r="E6" s="39" t="inlineStr">
        <is>
          <t>Candidate technology / approach</t>
        </is>
      </c>
      <c r="F6" s="39" t="inlineStr">
        <is>
          <t>Low hours</t>
        </is>
      </c>
      <c r="G6" s="39" t="inlineStr">
        <is>
          <t>Base hours</t>
        </is>
      </c>
      <c r="H6" s="39" t="inlineStr">
        <is>
          <t>High hours</t>
        </is>
      </c>
      <c r="I6" s="39" t="inlineStr">
        <is>
          <t>Status, rationale and evidence locator</t>
        </is>
      </c>
      <c r="J6" s="39" t="inlineStr">
        <is>
          <t>Base-hours × Ukraine published upper endpoint (USD)</t>
        </is>
      </c>
      <c r="K6" s="39" t="inlineStr">
        <is>
          <t>Base-hours × US published upper endpoint (USD)</t>
        </is>
      </c>
    </row>
    <row r="7" ht="70" customHeight="1">
      <c r="A7" s="40" t="inlineStr">
        <is>
          <t>CORE-01</t>
        </is>
      </c>
      <c r="B7" s="40" t="inlineStr">
        <is>
          <t>Discovery, product and security architecture</t>
        </is>
      </c>
      <c r="C7" s="40" t="inlineStr">
        <is>
          <t>Define user journeys, role/access matrix, domain model, acceptance scenarios, privacy rules and architecture decision record. Output: reviewed implementation backlog and unresolved-decision register.</t>
        </is>
      </c>
      <c r="D7" s="40" t="inlineStr">
        <is>
          <t>—</t>
        </is>
      </c>
      <c r="E7" s="40" t="inlineStr">
        <is>
          <t>React/TypeScript; PostgreSQL; OIDC; managed object storage; email; graph library TBD</t>
        </is>
      </c>
      <c r="F7" s="41" t="n">
        <v>120</v>
      </c>
      <c r="G7" s="41" t="n">
        <v>160</v>
      </c>
      <c r="H7" s="41" t="n">
        <v>220</v>
      </c>
      <c r="I7" s="40" t="inlineStr">
        <is>
          <t>⚠ ASSUMPTION; A1 §§1.1–1.2; A2 §§7.3–7.4; Access Contract. Wider high case reflects unapproved data/access and workflow rules.</t>
        </is>
      </c>
      <c r="J7" s="42">
        <f>G7*Inputs!$B$4</f>
        <v/>
      </c>
      <c r="K7" s="42">
        <f>G7*Inputs!$B$6</f>
        <v/>
      </c>
    </row>
    <row r="8" ht="55" customHeight="1">
      <c r="A8" s="40" t="inlineStr">
        <is>
          <t>CORE-02</t>
        </is>
      </c>
      <c r="B8" s="40" t="inlineStr">
        <is>
          <t>UX, design system and accessible responsive UI</t>
        </is>
      </c>
      <c r="C8" s="40" t="inlineStr">
        <is>
          <t>Design one-page network workspace, explicit mode/layer states, stacked drawers/panels, responsive touch layout, keyboard operation and bilingual UI.</t>
        </is>
      </c>
      <c r="D8" s="40" t="inlineStr">
        <is>
          <t>CORE-01</t>
        </is>
      </c>
      <c r="E8" s="40" t="inlineStr">
        <is>
          <t>React + TypeScript; HTML/CSS design system</t>
        </is>
      </c>
      <c r="F8" s="41" t="n">
        <v>100</v>
      </c>
      <c r="G8" s="41" t="n">
        <v>140</v>
      </c>
      <c r="H8" s="41" t="n">
        <v>190</v>
      </c>
      <c r="I8" s="40" t="inlineStr">
        <is>
          <t>⚠ ASSUMPTION; user-approved workspace requirements; A2 §5.4. Final visual direction and complete screen inventory remain open.</t>
        </is>
      </c>
      <c r="J8" s="42">
        <f>G8*Inputs!$B$4</f>
        <v/>
      </c>
      <c r="K8" s="42">
        <f>G8*Inputs!$B$6</f>
        <v/>
      </c>
    </row>
    <row r="9" ht="55" customHeight="1">
      <c r="A9" s="40" t="inlineStr">
        <is>
          <t>CORE-03</t>
        </is>
      </c>
      <c r="B9" s="40" t="inlineStr">
        <is>
          <t>Identity, authorization, consent and audit foundation</t>
        </is>
      </c>
      <c r="C9" s="40" t="inlineStr">
        <is>
          <t>Implement managed sign-in, MFA-ready account policy, role/scope checks, guest/member/operator/admin access, profile visibility/consent, contact separation and audit events.</t>
        </is>
      </c>
      <c r="D9" s="40" t="inlineStr">
        <is>
          <t>CORE-01</t>
        </is>
      </c>
      <c r="E9" s="40" t="inlineStr">
        <is>
          <t>OIDC provider; PostgreSQL authorization/RLS; server-side policy enforcement</t>
        </is>
      </c>
      <c r="F9" s="41" t="n">
        <v>180</v>
      </c>
      <c r="G9" s="41" t="n">
        <v>240</v>
      </c>
      <c r="H9" s="41" t="n">
        <v>330</v>
      </c>
      <c r="I9" s="40" t="inlineStr">
        <is>
          <t>⚠ ASSUMPTION; Access Contract; A2 §§6–7. Includes implementation and tests, not legal advice or a certification.</t>
        </is>
      </c>
      <c r="J9" s="42">
        <f>G9*Inputs!$B$4</f>
        <v/>
      </c>
      <c r="K9" s="42">
        <f>G9*Inputs!$B$6</f>
        <v/>
      </c>
    </row>
    <row r="10" ht="70" customHeight="1">
      <c r="A10" s="40" t="inlineStr">
        <is>
          <t>CORE-04</t>
        </is>
      </c>
      <c r="B10" s="40" t="inlineStr">
        <is>
          <t>Live data model and operator workspace</t>
        </is>
      </c>
      <c r="C10" s="40" t="inlineStr">
        <is>
          <t>Build relational schema, migrations, data validation/import staging, provenance, deduplication review, edit/correction workflow, operator queues and live graph data APIs. Use synthetic/de-identified data until data rights are approved.</t>
        </is>
      </c>
      <c r="D10" s="40" t="inlineStr">
        <is>
          <t>CORE-01, CORE-03</t>
        </is>
      </c>
      <c r="E10" s="40" t="inlineStr">
        <is>
          <t>Managed PostgreSQL; object storage; server API; operator UI</t>
        </is>
      </c>
      <c r="F10" s="41" t="n">
        <v>180</v>
      </c>
      <c r="G10" s="41" t="n">
        <v>260</v>
      </c>
      <c r="H10" s="41" t="n">
        <v>380</v>
      </c>
      <c r="I10" s="40" t="inlineStr">
        <is>
          <t>⚠ ASSUMPTION; Access Contract; Content-to-Service Assessment. Real CRM migration, source cleanup and volume are not confirmed.</t>
        </is>
      </c>
      <c r="J10" s="42">
        <f>G10*Inputs!$B$4</f>
        <v/>
      </c>
      <c r="K10" s="42">
        <f>G10*Inputs!$B$6</f>
        <v/>
      </c>
    </row>
    <row r="11" ht="55" customHeight="1">
      <c r="A11" s="40" t="inlineStr">
        <is>
          <t>CORE-05</t>
        </is>
      </c>
      <c r="B11" s="40" t="inlineStr">
        <is>
          <t>Expert profiles and evidence-backed verification</t>
        </is>
      </c>
      <c r="C11" s="40" t="inlineStr">
        <is>
          <t>Implement profiles, evidence records with source/date/reviewer, verification states, provenance, corrections, appeal/review workflow and disclosure rules. No composite Trust/Influence score.</t>
        </is>
      </c>
      <c r="D11" s="40" t="inlineStr">
        <is>
          <t>CORE-03, CORE-04</t>
        </is>
      </c>
      <c r="E11" s="40" t="inlineStr">
        <is>
          <t>PostgreSQL evidence model; controlled file storage; human-review workflow</t>
        </is>
      </c>
      <c r="F11" s="41" t="n">
        <v>200</v>
      </c>
      <c r="G11" s="41" t="n">
        <v>290</v>
      </c>
      <c r="H11" s="41" t="n">
        <v>420</v>
      </c>
      <c r="I11" s="40" t="inlineStr">
        <is>
          <t>⚠ ASSUMPTION; user-approved core boundary; Access Contract; Capability Benchmark. Verification rubric and evidence-source policy remain unapproved.</t>
        </is>
      </c>
      <c r="J11" s="42">
        <f>G11*Inputs!$B$4</f>
        <v/>
      </c>
      <c r="K11" s="42">
        <f>G11*Inputs!$B$6</f>
        <v/>
      </c>
    </row>
    <row r="12" ht="55" customHeight="1">
      <c r="A12" s="40" t="inlineStr">
        <is>
          <t>CORE-06</t>
        </is>
      </c>
      <c r="B12" s="40" t="inlineStr">
        <is>
          <t>Expert search, filters and layered network graph</t>
        </is>
      </c>
      <c r="C12" s="40" t="inlineStr">
        <is>
          <t>Implement searchable profiles, sector/geography/topic filters, expert and feature layers, layer toggles, dependencies view, graph-to-dossier navigation and text-accessible equivalent.</t>
        </is>
      </c>
      <c r="D12" s="40" t="inlineStr">
        <is>
          <t>CORE-02, CORE-04, CORE-05</t>
        </is>
      </c>
      <c r="E12" s="40" t="inlineStr">
        <is>
          <t>PostgreSQL full-text search; React; Cytoscape.js or Sigma.js (choice open)</t>
        </is>
      </c>
      <c r="F12" s="41" t="n">
        <v>180</v>
      </c>
      <c r="G12" s="41" t="n">
        <v>260</v>
      </c>
      <c r="H12" s="41" t="n">
        <v>380</v>
      </c>
      <c r="I12" s="40" t="inlineStr">
        <is>
          <t>⚠ ASSUMPTION; A1 §1.2; A2 §7.3; user-approved graph requirements. No separate graph database assumed.</t>
        </is>
      </c>
      <c r="J12" s="42">
        <f>G12*Inputs!$B$4</f>
        <v/>
      </c>
      <c r="K12" s="42">
        <f>G12*Inputs!$B$6</f>
        <v/>
      </c>
    </row>
    <row r="13" ht="70" customHeight="1">
      <c r="A13" s="40" t="inlineStr">
        <is>
          <t>CORE-07</t>
        </is>
      </c>
      <c r="B13" s="40" t="inlineStr">
        <is>
          <t>Community collaboration and basic events</t>
        </is>
      </c>
      <c r="C13" s="40" t="inlineStr">
        <is>
          <t>Implement groups, member feed/posts, comments, shared resources, basic opportunities, event notices, moderation, delegated group administration and transactional email notifications. No complex PM or E2EE.</t>
        </is>
      </c>
      <c r="D13" s="40" t="inlineStr">
        <is>
          <t>CORE-02, CORE-03, CORE-04</t>
        </is>
      </c>
      <c r="E13" s="40" t="inlineStr">
        <is>
          <t>React; PostgreSQL; object storage; email provider</t>
        </is>
      </c>
      <c r="F13" s="41" t="n">
        <v>220</v>
      </c>
      <c r="G13" s="41" t="n">
        <v>320</v>
      </c>
      <c r="H13" s="41" t="n">
        <v>470</v>
      </c>
      <c r="I13" s="40" t="inlineStr">
        <is>
          <t>⚠ ASSUMPTION; user-approved core boundary; CIRCLE-CAP; HIVE-CAP; VIVA-ADMIN. Message retention, upload policy and email provider remain open.</t>
        </is>
      </c>
      <c r="J13" s="42">
        <f>G13*Inputs!$B$4</f>
        <v/>
      </c>
      <c r="K13" s="42">
        <f>G13*Inputs!$B$6</f>
        <v/>
      </c>
    </row>
    <row r="14" ht="70" customHeight="1">
      <c r="A14" s="40" t="inlineStr">
        <is>
          <t>CORE-08</t>
        </is>
      </c>
      <c r="B14" s="40" t="inlineStr">
        <is>
          <t>Expert intake, recruitment and onboarding</t>
        </is>
      </c>
      <c r="C14" s="40" t="inlineStr">
        <is>
          <t>Implement consent-aware intake, campaign records, source tracking, candidate triage queue, human-reviewed verification handoff, onboarding steps and membership status. No autonomous AI decisions or social-platform automation.</t>
        </is>
      </c>
      <c r="D14" s="40" t="inlineStr">
        <is>
          <t>CORE-03, CORE-04, CORE-05, CORE-07</t>
        </is>
      </c>
      <c r="E14" s="40" t="inlineStr">
        <is>
          <t>Forms/API; PostgreSQL workflow; email provider; optional queue</t>
        </is>
      </c>
      <c r="F14" s="41" t="n">
        <v>160</v>
      </c>
      <c r="G14" s="41" t="n">
        <v>240</v>
      </c>
      <c r="H14" s="41" t="n">
        <v>360</v>
      </c>
      <c r="I14" s="40" t="inlineStr">
        <is>
          <t>⚠ ASSUMPTION; user-approved growth lifecycle; A2 §§4, 6; CRT-GROWTH. Outreach channels, volume and AI role are unresolved.</t>
        </is>
      </c>
      <c r="J14" s="42">
        <f>G14*Inputs!$B$4</f>
        <v/>
      </c>
      <c r="K14" s="42">
        <f>G14*Inputs!$B$6</f>
        <v/>
      </c>
    </row>
    <row r="15" ht="55" customHeight="1">
      <c r="A15" s="40" t="inlineStr">
        <is>
          <t>CORE-09</t>
        </is>
      </c>
      <c r="B15" s="40" t="inlineStr">
        <is>
          <t>Engagement operations and basic health analytics</t>
        </is>
      </c>
      <c r="C15" s="40" t="inlineStr">
        <is>
          <t>Implement group-owner tools, activity/participation measures, dormant-group signals, re-engagement tasks and basic role assignment workflow. No ranking or automatic privilege elevation.</t>
        </is>
      </c>
      <c r="D15" s="40" t="inlineStr">
        <is>
          <t>CORE-03, CORE-07, CORE-08</t>
        </is>
      </c>
      <c r="E15" s="40" t="inlineStr">
        <is>
          <t>PostgreSQL event records; dashboard UI; notification rules</t>
        </is>
      </c>
      <c r="F15" s="41" t="n">
        <v>140</v>
      </c>
      <c r="G15" s="41" t="n">
        <v>210</v>
      </c>
      <c r="H15" s="41" t="n">
        <v>320</v>
      </c>
      <c r="I15" s="40" t="inlineStr">
        <is>
          <t>⚠ ASSUMPTION; VIVA-ADMIN; VIVA-ANALYTICS; CRT-GROWTH; user-approved boundary. KPI definitions and operating cadence remain open.</t>
        </is>
      </c>
      <c r="J15" s="42">
        <f>G15*Inputs!$B$4</f>
        <v/>
      </c>
      <c r="K15" s="42">
        <f>G15*Inputs!$B$6</f>
        <v/>
      </c>
    </row>
    <row r="16" ht="70" customHeight="1">
      <c r="A16" s="40" t="inlineStr">
        <is>
          <t>CORE-10</t>
        </is>
      </c>
      <c r="B16" s="40" t="inlineStr">
        <is>
          <t>Security hardening and privacy verification</t>
        </is>
      </c>
      <c r="C16" s="40" t="inlineStr">
        <is>
          <t>Threat-model core flows, verify authorization boundaries and data minimization, configure secrets, encryption and secure defaults, test access/audit paths, prepare incident and retention controls.</t>
        </is>
      </c>
      <c r="D16" s="40" t="inlineStr">
        <is>
          <t>CORE-03, CORE-04, CORE-05, CORE-07, CORE-08, CORE-09</t>
        </is>
      </c>
      <c r="E16" s="40" t="inlineStr">
        <is>
          <t>OIDC; managed Postgres/object storage; logging; security test tooling</t>
        </is>
      </c>
      <c r="F16" s="41" t="n">
        <v>80</v>
      </c>
      <c r="G16" s="41" t="n">
        <v>120</v>
      </c>
      <c r="H16" s="41" t="n">
        <v>180</v>
      </c>
      <c r="I16" s="40" t="inlineStr">
        <is>
          <t>⚠ ASSUMPTION; Access Contract; A2 §§6–7. No third-party penetration-test quote or certification scope included.</t>
        </is>
      </c>
      <c r="J16" s="42">
        <f>G16*Inputs!$B$4</f>
        <v/>
      </c>
      <c r="K16" s="42">
        <f>G16*Inputs!$B$6</f>
        <v/>
      </c>
    </row>
    <row r="17" ht="55" customHeight="1">
      <c r="A17" s="40" t="inlineStr">
        <is>
          <t>CORE-11</t>
        </is>
      </c>
      <c r="B17" s="40" t="inlineStr">
        <is>
          <t>Quality assurance, accessibility and acceptance testing</t>
        </is>
      </c>
      <c r="C17" s="40" t="inlineStr">
        <is>
          <t>Test role/data isolation, imports, graph interactions, workflows, failure paths, mobile/touch/keyboard and bilingual presentation; prepare acceptance scripts and regression coverage.</t>
        </is>
      </c>
      <c r="D17" s="40" t="inlineStr">
        <is>
          <t>CORE-02 through CORE-10</t>
        </is>
      </c>
      <c r="E17" s="40" t="inlineStr">
        <is>
          <t>Browser automation; unit/integration tests; accessibility checks</t>
        </is>
      </c>
      <c r="F17" s="41" t="n">
        <v>180</v>
      </c>
      <c r="G17" s="41" t="n">
        <v>270</v>
      </c>
      <c r="H17" s="41" t="n">
        <v>400</v>
      </c>
      <c r="I17" s="40" t="inlineStr">
        <is>
          <t>⚠ ASSUMPTION; user-approved loop requirements; A2 §8. Includes testing effort, not an independent certification audit.</t>
        </is>
      </c>
      <c r="J17" s="42">
        <f>G17*Inputs!$B$4</f>
        <v/>
      </c>
      <c r="K17" s="42">
        <f>G17*Inputs!$B$6</f>
        <v/>
      </c>
    </row>
    <row r="18" ht="55" customHeight="1">
      <c r="A18" s="40" t="inlineStr">
        <is>
          <t>CORE-12</t>
        </is>
      </c>
      <c r="B18" s="40" t="inlineStr">
        <is>
          <t>Deployment, observability, backup and operational handover</t>
        </is>
      </c>
      <c r="C18" s="40" t="inlineStr">
        <is>
          <t>Create non-production/production environments, CI/CD, monitoring/error logs, backups/restore checks, operational runbook and release handover.</t>
        </is>
      </c>
      <c r="D18" s="40" t="inlineStr">
        <is>
          <t>CORE-03, CORE-04, CORE-10, CORE-11</t>
        </is>
      </c>
      <c r="E18" s="40" t="inlineStr">
        <is>
          <t>Managed app hosting; PostgreSQL; object storage; CI/CD; monitoring</t>
        </is>
      </c>
      <c r="F18" s="41" t="n">
        <v>100</v>
      </c>
      <c r="G18" s="41" t="n">
        <v>150</v>
      </c>
      <c r="H18" s="41" t="n">
        <v>230</v>
      </c>
      <c r="I18" s="40" t="inlineStr">
        <is>
          <t>⚠ ASSUMPTION; A2 §§7.3, 8. Exact provider, region, availability target and support plan remain unchosen.</t>
        </is>
      </c>
      <c r="J18" s="42">
        <f>G18*Inputs!$B$4</f>
        <v/>
      </c>
      <c r="K18" s="42">
        <f>G18*Inputs!$B$6</f>
        <v/>
      </c>
    </row>
    <row r="19" ht="55" customHeight="1">
      <c r="A19" s="40" t="inlineStr">
        <is>
          <t>CORE-13</t>
        </is>
      </c>
      <c r="B19" s="40" t="inlineStr">
        <is>
          <t>Delivery management and client acceptance</t>
        </is>
      </c>
      <c r="C19" s="40" t="inlineStr">
        <is>
          <t>Coordinate dependencies, decisions, demonstrations, review cycles, issue triage, scope control and handover documentation through acceptance.</t>
        </is>
      </c>
      <c r="D19" s="40" t="inlineStr">
        <is>
          <t>CORE-01 through CORE-12</t>
        </is>
      </c>
      <c r="E19" s="40" t="inlineStr">
        <is>
          <t>Delivery workflow and project documentation</t>
        </is>
      </c>
      <c r="F19" s="41" t="n">
        <v>100</v>
      </c>
      <c r="G19" s="41" t="n">
        <v>150</v>
      </c>
      <c r="H19" s="41" t="n">
        <v>240</v>
      </c>
      <c r="I19" s="40" t="inlineStr">
        <is>
          <t>⚠ ASSUMPTION; A2 §§8–8.2; user-approved ≤3 milestone constraint. Client review turnaround and governance cadence remain open.</t>
        </is>
      </c>
      <c r="J19" s="42">
        <f>G19*Inputs!$B$4</f>
        <v/>
      </c>
      <c r="K19" s="42">
        <f>G19*Inputs!$B$6</f>
        <v/>
      </c>
    </row>
    <row r="20" ht="28" customHeight="1">
      <c r="A20" s="43" t="inlineStr">
        <is>
          <t>TOTAL — fixed core</t>
        </is>
      </c>
      <c r="B20" s="43" t="n"/>
      <c r="C20" s="43" t="n"/>
      <c r="D20" s="43" t="n"/>
      <c r="E20" s="43" t="n"/>
      <c r="F20" s="44">
        <f>SUM(F7:F19)</f>
        <v/>
      </c>
      <c r="G20" s="44">
        <f>SUM(G7:G19)</f>
        <v/>
      </c>
      <c r="H20" s="44">
        <f>SUM(H7:H19)</f>
        <v/>
      </c>
      <c r="I20" s="43" t="n"/>
      <c r="J20" s="45">
        <f>G20*Inputs!$B$4</f>
        <v/>
      </c>
      <c r="K20" s="45">
        <f>G20*Inputs!$B$6</f>
        <v/>
      </c>
    </row>
    <row r="22" ht="25" customHeight="1">
      <c r="A22" s="46" t="inlineStr">
        <is>
          <t>Indicative rate sensitivity — same scope; not a proposal price</t>
        </is>
      </c>
    </row>
    <row r="23">
      <c r="A23" s="47" t="inlineStr">
        <is>
          <t>Low effort × Ukraine upper endpoint</t>
        </is>
      </c>
      <c r="B23" s="47" t="n"/>
      <c r="C23" s="47" t="n"/>
      <c r="D23" s="47" t="n"/>
      <c r="E23" s="47" t="n"/>
      <c r="F23" s="48">
        <f>F20</f>
        <v/>
      </c>
      <c r="G23" s="47" t="inlineStr">
        <is>
          <t>person-hours</t>
        </is>
      </c>
      <c r="H23" s="49">
        <f>F20*Inputs!$B$4</f>
        <v/>
      </c>
    </row>
    <row r="24">
      <c r="A24" s="47" t="inlineStr">
        <is>
          <t>Base effort × Ukraine upper endpoint</t>
        </is>
      </c>
      <c r="B24" s="47" t="n"/>
      <c r="C24" s="47" t="n"/>
      <c r="D24" s="47" t="n"/>
      <c r="E24" s="47" t="n"/>
      <c r="F24" s="48">
        <f>G20</f>
        <v/>
      </c>
      <c r="G24" s="47" t="inlineStr">
        <is>
          <t>person-hours</t>
        </is>
      </c>
      <c r="H24" s="49">
        <f>G20*Inputs!$B$4</f>
        <v/>
      </c>
    </row>
    <row r="25">
      <c r="A25" s="47" t="inlineStr">
        <is>
          <t>Base effort × US upper endpoint</t>
        </is>
      </c>
      <c r="B25" s="47" t="n"/>
      <c r="C25" s="47" t="n"/>
      <c r="D25" s="47" t="n"/>
      <c r="E25" s="47" t="n"/>
      <c r="F25" s="48">
        <f>G20</f>
        <v/>
      </c>
      <c r="G25" s="47" t="inlineStr">
        <is>
          <t>person-hours</t>
        </is>
      </c>
      <c r="H25" s="49">
        <f>G20*Inputs!$B$6</f>
        <v/>
      </c>
    </row>
    <row r="26">
      <c r="A26" s="47" t="inlineStr">
        <is>
          <t>High effort × US upper endpoint</t>
        </is>
      </c>
      <c r="B26" s="47" t="n"/>
      <c r="C26" s="47" t="n"/>
      <c r="D26" s="47" t="n"/>
      <c r="E26" s="47" t="n"/>
      <c r="F26" s="48">
        <f>H20</f>
        <v/>
      </c>
      <c r="G26" s="47" t="inlineStr">
        <is>
          <t>person-hours</t>
        </is>
      </c>
      <c r="H26" s="49">
        <f>H20*Inputs!$B$6</f>
        <v/>
      </c>
    </row>
    <row r="28" ht="35" customHeight="1">
      <c r="A28" s="50" t="inlineStr">
        <is>
          <t>Inclusions</t>
        </is>
      </c>
      <c r="B28" s="51" t="inlineStr">
        <is>
          <t>Fixed core only: account/access controls, live data/operator tools, expert search and graph, evidence-backed verification/provenance, basic community collaboration/events, recruitment/intake/onboarding, engagement operations, QA and deployment.</t>
        </is>
      </c>
    </row>
    <row r="29" ht="35" customHeight="1">
      <c r="A29" s="50" t="inlineStr">
        <is>
          <t>Exclusions for later estimates</t>
        </is>
      </c>
      <c r="B29" s="51" t="inlineStr">
        <is>
          <t>Advanced optional modules (War Room, complex project management, research, public engagement, leads, campaigns, extended events, AI/OSINT production, partner marketplace, billing and Nomad logistics); pre-contract configurator/PDF; visitor-IP collection; composite Trust/Influence scoring; external subscriptions and usage.</t>
        </is>
      </c>
    </row>
    <row r="30" ht="35" customHeight="1">
      <c r="A30" s="50" t="inlineStr">
        <is>
          <t>Greenfield basis</t>
        </is>
      </c>
      <c r="B30" s="51" t="inlineStr">
        <is>
          <t>Estimate assumes a bespoke application for one customer, with no effort credit for the current repository, existing product code, existing data assets, or free/previously licensed products. Any reuse case belongs in a separate negotiation or scenario analysis.</t>
        </is>
      </c>
    </row>
    <row r="31" ht="35" customHeight="1">
      <c r="A31" s="50" t="inlineStr">
        <is>
          <t>Gated decisions</t>
        </is>
      </c>
      <c r="B31" s="51" t="inlineStr">
        <is>
          <t>Exact source data and lawful migration; reviewer identity; access/contact policy; evidence rubric; event/communications provider; data residency/retention; production load/availability; support SLA; IP/source-code/co-development terms; AI provider and human-review policy.</t>
        </is>
      </c>
    </row>
    <row r="32" ht="35" customHeight="1">
      <c r="A32" s="50" t="inlineStr">
        <is>
          <t>Calculation passport</t>
        </is>
      </c>
      <c r="B32" s="51" t="inlineStr">
        <is>
          <t>Effort inputs F:H are ⚠ ASSUMPTION person-hours per work package. Reasoning and documentary basis are in column I. J/K and scenario outputs are formulas referencing these inputs and the published rate endpoints in Inputs (CLUTCH-UA / CLUTCH-US). No FX conversion or markup.</t>
        </is>
      </c>
    </row>
  </sheetData>
  <autoFilter ref="A6:K19"/>
  <mergeCells count="11">
    <mergeCell ref="A22:K22"/>
    <mergeCell ref="B31:K31"/>
    <mergeCell ref="A4:K4"/>
    <mergeCell ref="A3:K3"/>
    <mergeCell ref="B32:K32"/>
    <mergeCell ref="B30:K30"/>
    <mergeCell ref="A2:K2"/>
    <mergeCell ref="B29:K29"/>
    <mergeCell ref="A5:K5"/>
    <mergeCell ref="B28:K28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2026-10-01T13:42:43Z</dcterms:created>
  <dcterms:modified xsi:type="dcterms:W3CDTF">2026-10-01T16:10:29Z</dcterms:modified>
</cp:coreProperties>
</file>