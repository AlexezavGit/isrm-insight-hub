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Project_Budget" sheetId="3" state="visible" r:id="rId3"/>
    <sheet name="Work_Packages" sheetId="4" state="visible" r:id="rId4"/>
    <sheet name="Budget_Model" sheetId="5" state="visible" r:id="rId5"/>
    <sheet name="Source_Register" sheetId="6" state="visible" r:id="rId6"/>
    <sheet name="Legacy_Claims" sheetId="7" state="visible" r:id="rId7"/>
    <sheet name="Revised_Scope" sheetId="8" state="visible" r:id="rId8"/>
    <sheet name="Partner_Effort" sheetId="9" state="visible" r:id="rId9"/>
    <sheet name="Market_Comparison" sheetId="10" state="visible" r:id="rId10"/>
    <sheet name="Project_Gantt" sheetId="11" state="visible" r:id="rId11"/>
  </sheets>
  <definedNames>
    <definedName name="_xlnm._FilterDatabase" localSheetId="1" hidden="1">'Inputs'!$A$3:$F$29</definedName>
    <definedName name="_xlnm._FilterDatabase" localSheetId="2" hidden="1">'Project_Budget'!$A$6:$R$43</definedName>
    <definedName name="_xlnm._FilterDatabase" localSheetId="3" hidden="1">'Work_Packages'!$A$4:$H$17</definedName>
    <definedName name="_xlnm._FilterDatabase" localSheetId="5" hidden="1">'Source_Register'!$A$3:$I$20</definedName>
    <definedName name="_xlnm._FilterDatabase" localSheetId="7" hidden="1">'Revised_Scope'!$A$5:$F$14</definedName>
    <definedName name="_xlnm._FilterDatabase" localSheetId="8" hidden="1">'Partner_Effort'!$A$5:$H$23</definedName>
    <definedName name="_xlnm._FilterDatabase" localSheetId="10" hidden="1">'Project_Gantt'!$A$5:$O$11</definedName>
  </definedNames>
  <calcPr calcId="124519" calcMode="auto" fullCalcOnLoad="1" forceFullCalc="1"/>
</workbook>
</file>

<file path=xl/styles.xml><?xml version="1.0" encoding="utf-8"?>
<styleSheet xmlns="http://schemas.openxmlformats.org/spreadsheetml/2006/main">
  <numFmts count="8">
    <numFmt numFmtId="164" formatCode="$#,##0.00;[Red]-$#,##0.00"/>
    <numFmt numFmtId="165" formatCode="€#,##0.0000000;[Red]-€#,##0.0000000"/>
    <numFmt numFmtId="166" formatCode="£#,##0"/>
    <numFmt numFmtId="167" formatCode="£#,##0.00"/>
    <numFmt numFmtId="168" formatCode="$#,##0"/>
    <numFmt numFmtId="169" formatCode="0.0"/>
    <numFmt numFmtId="170" formatCode="#,##0.00;[Red]-#,##0.00;–"/>
    <numFmt numFmtId="171" formatCode="0.0%"/>
  </numFmts>
  <fonts count="24">
    <font>
      <name val="Calibri"/>
      <family val="2"/>
      <color theme="1"/>
      <sz val="11"/>
      <scheme val="minor"/>
    </font>
    <font>
      <name val="Arial"/>
      <b val="1"/>
      <color rgb="00FFFFFF"/>
      <sz val="16"/>
    </font>
    <font>
      <name val="Arial"/>
      <b val="1"/>
      <color rgb="0017324D"/>
    </font>
    <font>
      <name val="Arial"/>
      <b val="1"/>
      <color rgb="00FFFFFF"/>
    </font>
    <font>
      <name val="Arial"/>
      <color rgb="000000FF"/>
      <sz val="10"/>
    </font>
    <font>
      <name val="Arial"/>
      <color rgb="00222222"/>
      <sz val="10"/>
    </font>
    <font>
      <name val="Arial"/>
      <b val="1"/>
      <color rgb="00006100"/>
    </font>
    <font>
      <name val="Arial"/>
      <b val="1"/>
      <color rgb="0017324D"/>
      <sz val="12"/>
    </font>
    <font>
      <name val="Arial"/>
      <i val="1"/>
      <color rgb="005B6573"/>
    </font>
    <font>
      <name val="Arial"/>
      <color rgb="00006100"/>
      <sz val="10"/>
    </font>
    <font>
      <name val="Arial"/>
      <b val="1"/>
      <color rgb="0017324D"/>
      <sz val="10"/>
    </font>
    <font>
      <name val="Arial"/>
      <b val="1"/>
      <color rgb="00FFFFFF"/>
      <sz val="14"/>
    </font>
    <font>
      <b val="1"/>
      <color rgb="00FFFFFF"/>
    </font>
    <font>
      <b val="1"/>
    </font>
    <font>
      <name val="Calibri"/>
      <family val="2"/>
      <color theme="10"/>
      <sz val="12"/>
      <scheme val="minor"/>
    </font>
    <font>
      <name val="Calibri"/>
      <b val="1"/>
      <color rgb="009C0006"/>
      <sz val="10"/>
    </font>
    <font>
      <name val="Calibri"/>
      <b val="1"/>
      <color rgb="00FFFFFF"/>
      <sz val="16"/>
    </font>
    <font>
      <b val="1"/>
      <color rgb="00FFFFFF"/>
      <sz val="12"/>
    </font>
    <font>
      <i val="1"/>
      <color rgb="00666666"/>
    </font>
    <font>
      <b val="1"/>
      <color rgb="009C0006"/>
    </font>
    <font>
      <b val="1"/>
      <color rgb="00FFFFFF"/>
      <sz val="15"/>
    </font>
    <font>
      <color rgb="000563C1"/>
      <u val="single"/>
    </font>
    <font>
      <name val="Arial"/>
      <i val="1"/>
      <color rgb="00404040"/>
      <sz val="10"/>
    </font>
    <font>
      <b val="1"/>
      <color rgb="0017365D"/>
    </font>
  </fonts>
  <fills count="18">
    <fill>
      <patternFill/>
    </fill>
    <fill>
      <patternFill patternType="gray125"/>
    </fill>
    <fill>
      <patternFill patternType="solid">
        <fgColor rgb="0017324D"/>
      </patternFill>
    </fill>
    <fill>
      <patternFill patternType="solid">
        <fgColor rgb="001F7A8C"/>
      </patternFill>
    </fill>
    <fill>
      <patternFill patternType="solid">
        <fgColor rgb="00EAF3F8"/>
      </patternFill>
    </fill>
    <fill>
      <patternFill patternType="solid">
        <fgColor rgb="00E2F0D9"/>
      </patternFill>
    </fill>
    <fill>
      <patternFill patternType="solid">
        <fgColor rgb="0017365D"/>
      </patternFill>
    </fill>
    <fill>
      <patternFill patternType="solid">
        <fgColor rgb="00FFF2CC"/>
      </patternFill>
    </fill>
    <fill>
      <patternFill patternType="solid">
        <fgColor rgb="00D9EAF7"/>
      </patternFill>
    </fill>
    <fill>
      <patternFill patternType="solid">
        <fgColor rgb="00E7E6E6"/>
      </patternFill>
    </fill>
    <fill>
      <patternFill patternType="solid">
        <fgColor rgb="00F4F7FA"/>
      </patternFill>
    </fill>
    <fill>
      <patternFill patternType="solid">
        <fgColor rgb="00FCE4D6"/>
      </patternFill>
    </fill>
    <fill>
      <patternFill patternType="solid">
        <fgColor rgb="004472C4"/>
      </patternFill>
    </fill>
    <fill>
      <patternFill patternType="solid">
        <fgColor rgb="00F7FAFC"/>
      </patternFill>
    </fill>
    <fill>
      <patternFill patternType="solid">
        <fgColor rgb="00DDEBF7"/>
      </patternFill>
    </fill>
    <fill>
      <patternFill patternType="solid">
        <fgColor rgb="00F2F2F2"/>
      </patternFill>
    </fill>
    <fill>
      <patternFill patternType="solid">
        <fgColor rgb="00FFFFFF"/>
      </patternFill>
    </fill>
    <fill>
      <patternFill patternType="solid">
        <fgColor rgb="00F3F6F9"/>
      </patternFill>
    </fill>
  </fills>
  <borders count="10">
    <border>
      <left/>
      <right/>
      <top/>
      <bottom/>
      <diagonal/>
    </border>
    <border>
      <bottom style="thin">
        <color rgb="00D7DEE5"/>
      </bottom>
    </border>
    <border>
      <top style="medium">
        <color rgb="0017324D"/>
      </top>
    </border>
    <border>
      <left/>
      <right/>
      <top/>
      <bottom style="thin">
        <color rgb="00D7DEE5"/>
      </bottom>
      <diagonal/>
    </border>
    <border>
      <right/>
      <bottom style="thin">
        <color rgb="00D7DEE5"/>
      </bottom>
    </border>
    <border>
      <bottom style="thin">
        <color rgb="00B7C9D6"/>
      </bottom>
    </border>
    <border>
      <left/>
      <right/>
      <top/>
      <bottom style="thin">
        <color rgb="00B7C9D6"/>
      </bottom>
      <diagonal/>
    </border>
    <border>
      <right/>
      <bottom style="thin">
        <color rgb="00B7C9D6"/>
      </bottom>
    </border>
    <border>
      <bottom style="thin">
        <color rgb="00D9E2F3"/>
      </bottom>
    </border>
    <border>
      <bottom style="thin">
        <color rgb="00C8D2DC"/>
      </bottom>
    </border>
  </borders>
  <cellStyleXfs count="2">
    <xf numFmtId="0" fontId="0" fillId="0" borderId="0"/>
    <xf numFmtId="0" fontId="14" fillId="0" borderId="0"/>
  </cellStyleXfs>
  <cellXfs count="112">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center" wrapText="1"/>
    </xf>
    <xf numFmtId="0" fontId="2" fillId="0" borderId="0" pivotButton="0" quotePrefix="0" xfId="0"/>
    <xf numFmtId="0" fontId="5" fillId="0" borderId="1" applyAlignment="1" pivotButton="0" quotePrefix="0" xfId="0">
      <alignment vertical="top" wrapText="1"/>
    </xf>
    <xf numFmtId="0" fontId="4" fillId="4" borderId="1" applyAlignment="1" pivotButton="0" quotePrefix="0" xfId="0">
      <alignment vertical="top" wrapText="1"/>
    </xf>
    <xf numFmtId="0" fontId="5" fillId="0" borderId="0" applyAlignment="1" pivotButton="0" quotePrefix="0" xfId="0">
      <alignment vertical="top" wrapText="1"/>
    </xf>
    <xf numFmtId="9" fontId="4" fillId="4" borderId="1" applyAlignment="1" pivotButton="0" quotePrefix="0" xfId="0">
      <alignment vertical="top" wrapText="1"/>
    </xf>
    <xf numFmtId="0" fontId="5" fillId="4" borderId="1" applyAlignment="1" pivotButton="0" quotePrefix="0" xfId="0">
      <alignment vertical="top" wrapText="1"/>
    </xf>
    <xf numFmtId="0" fontId="5" fillId="0" borderId="2" applyAlignment="1" pivotButton="0" quotePrefix="0" xfId="0">
      <alignment vertical="top" wrapText="1"/>
    </xf>
    <xf numFmtId="0" fontId="0" fillId="0" borderId="2" applyAlignment="1" pivotButton="0" quotePrefix="0" xfId="0">
      <alignment vertical="top" wrapText="1"/>
    </xf>
    <xf numFmtId="0" fontId="6" fillId="5" borderId="2" applyAlignment="1" pivotButton="0" quotePrefix="0" xfId="0">
      <alignment vertical="top" wrapText="1"/>
    </xf>
    <xf numFmtId="0" fontId="7" fillId="0" borderId="0" pivotButton="0" quotePrefix="0" xfId="0"/>
    <xf numFmtId="0" fontId="9" fillId="5" borderId="1" applyAlignment="1" pivotButton="0" quotePrefix="0" xfId="0">
      <alignment vertical="top" wrapText="1"/>
    </xf>
    <xf numFmtId="164" fontId="9" fillId="5" borderId="1" applyAlignment="1" pivotButton="0" quotePrefix="0" xfId="0">
      <alignment vertical="top" wrapText="1"/>
    </xf>
    <xf numFmtId="9" fontId="9" fillId="5" borderId="1" applyAlignment="1" pivotButton="0" quotePrefix="0" xfId="0">
      <alignment vertical="top" wrapText="1"/>
    </xf>
    <xf numFmtId="0" fontId="8" fillId="0" borderId="0" applyAlignment="1" pivotButton="0" quotePrefix="0" xfId="0">
      <alignment vertical="top" wrapText="1"/>
    </xf>
    <xf numFmtId="0" fontId="0" fillId="0" borderId="3" pivotButton="0" quotePrefix="0" xfId="0"/>
    <xf numFmtId="0" fontId="10" fillId="0" borderId="0" applyAlignment="1" pivotButton="0" quotePrefix="0" xfId="0">
      <alignment vertical="top" wrapText="1"/>
    </xf>
    <xf numFmtId="0" fontId="9" fillId="5" borderId="0" applyAlignment="1" pivotButton="0" quotePrefix="0" xfId="0">
      <alignment vertical="top" wrapText="1"/>
    </xf>
    <xf numFmtId="9" fontId="9" fillId="5" borderId="0" applyAlignment="1" pivotButton="0" quotePrefix="0" xfId="0">
      <alignment vertical="top" wrapText="1"/>
    </xf>
    <xf numFmtId="0" fontId="10" fillId="0" borderId="0" pivotButton="0" quotePrefix="0" xfId="0"/>
    <xf numFmtId="0" fontId="0" fillId="0" borderId="0" applyAlignment="1" pivotButton="0" quotePrefix="0" xfId="0">
      <alignment vertical="top" wrapText="1"/>
    </xf>
    <xf numFmtId="0" fontId="0" fillId="0" borderId="4" applyAlignment="1" pivotButton="0" quotePrefix="0" xfId="0">
      <alignment vertical="top" wrapText="1"/>
    </xf>
    <xf numFmtId="0" fontId="11" fillId="6" borderId="0" applyAlignment="1" pivotButton="0" quotePrefix="0" xfId="0">
      <alignment vertical="center"/>
    </xf>
    <xf numFmtId="0" fontId="3" fillId="6" borderId="0" pivotButton="0" quotePrefix="0" xfId="0"/>
    <xf numFmtId="0" fontId="12" fillId="6" borderId="0" applyAlignment="1" pivotButton="0" quotePrefix="0" xfId="0">
      <alignment vertical="center" wrapText="1"/>
    </xf>
    <xf numFmtId="0" fontId="0" fillId="7" borderId="0" applyAlignment="1" pivotButton="0" quotePrefix="0" xfId="0">
      <alignment vertical="top"/>
    </xf>
    <xf numFmtId="165" fontId="0" fillId="7" borderId="0" applyAlignment="1" pivotButton="0" quotePrefix="0" xfId="0">
      <alignment vertical="top"/>
    </xf>
    <xf numFmtId="165" fontId="0" fillId="8" borderId="0" applyAlignment="1" pivotButton="0" quotePrefix="0" xfId="0">
      <alignment vertical="top"/>
    </xf>
    <xf numFmtId="0" fontId="13" fillId="9" borderId="0" pivotButton="0" quotePrefix="0" xfId="0"/>
    <xf numFmtId="0" fontId="0" fillId="7" borderId="0" applyAlignment="1" pivotButton="0" quotePrefix="0" xfId="0">
      <alignment vertical="top" wrapText="1"/>
    </xf>
    <xf numFmtId="0" fontId="12" fillId="6" borderId="0" pivotButton="0" quotePrefix="0" xfId="0"/>
    <xf numFmtId="0" fontId="0" fillId="7" borderId="0" applyAlignment="1" pivotButton="0" quotePrefix="0" xfId="0">
      <alignment wrapText="1"/>
    </xf>
    <xf numFmtId="0" fontId="0" fillId="8" borderId="0" applyAlignment="1" pivotButton="0" quotePrefix="0" xfId="0">
      <alignment wrapText="1"/>
    </xf>
    <xf numFmtId="0" fontId="12" fillId="6" borderId="0" applyAlignment="1" pivotButton="0" quotePrefix="0" xfId="0">
      <alignment wrapText="1"/>
    </xf>
    <xf numFmtId="0" fontId="0" fillId="10" borderId="0" applyAlignment="1" pivotButton="0" quotePrefix="0" xfId="0">
      <alignment vertical="top" wrapText="1"/>
    </xf>
    <xf numFmtId="0" fontId="14" fillId="0" borderId="0" pivotButton="0" quotePrefix="0" xfId="1"/>
    <xf numFmtId="0" fontId="14" fillId="10" borderId="0" pivotButton="0" quotePrefix="0" xfId="1"/>
    <xf numFmtId="0" fontId="14" fillId="0" borderId="0" applyAlignment="1" pivotButton="0" quotePrefix="0" xfId="1">
      <alignment vertical="top" wrapText="1"/>
    </xf>
    <xf numFmtId="0" fontId="14" fillId="10" borderId="0" applyAlignment="1" pivotButton="0" quotePrefix="0" xfId="1">
      <alignment vertical="top" wrapText="1"/>
    </xf>
    <xf numFmtId="0" fontId="15" fillId="11" borderId="0" applyAlignment="1" pivotButton="0" quotePrefix="0" xfId="0">
      <alignment vertical="center" wrapText="1"/>
    </xf>
    <xf numFmtId="0" fontId="0" fillId="13" borderId="5" applyAlignment="1" pivotButton="0" quotePrefix="0" xfId="0">
      <alignment vertical="top" wrapText="1"/>
    </xf>
    <xf numFmtId="0" fontId="0" fillId="0" borderId="5" applyAlignment="1" pivotButton="0" quotePrefix="0" xfId="0">
      <alignment vertical="top" wrapText="1"/>
    </xf>
    <xf numFmtId="0" fontId="16" fillId="6" borderId="0" applyAlignment="1" pivotButton="0" quotePrefix="0" xfId="0">
      <alignment vertical="center"/>
    </xf>
    <xf numFmtId="0" fontId="17" fillId="6" borderId="0" pivotButton="0" quotePrefix="0" xfId="0"/>
    <xf numFmtId="0" fontId="12" fillId="12" borderId="0" applyAlignment="1" pivotButton="0" quotePrefix="0" xfId="0">
      <alignment vertical="center" wrapText="1"/>
    </xf>
    <xf numFmtId="0" fontId="0" fillId="14" borderId="5" applyAlignment="1" pivotButton="0" quotePrefix="0" xfId="0">
      <alignment vertical="top" wrapText="1"/>
    </xf>
    <xf numFmtId="0" fontId="0" fillId="15" borderId="5" applyAlignment="1" pivotButton="0" quotePrefix="0" xfId="0">
      <alignment vertical="top" wrapText="1"/>
    </xf>
    <xf numFmtId="1" fontId="0" fillId="14" borderId="5" applyAlignment="1" pivotButton="0" quotePrefix="0" xfId="0">
      <alignment vertical="top" wrapText="1"/>
    </xf>
    <xf numFmtId="2" fontId="0" fillId="13" borderId="5" applyAlignment="1" pivotButton="0" quotePrefix="0" xfId="0">
      <alignment vertical="top" wrapText="1"/>
    </xf>
    <xf numFmtId="2" fontId="0" fillId="5" borderId="5" applyAlignment="1" pivotButton="0" quotePrefix="0" xfId="0">
      <alignment vertical="top" wrapText="1"/>
    </xf>
    <xf numFmtId="0" fontId="0" fillId="5" borderId="5" applyAlignment="1" pivotButton="0" quotePrefix="0" xfId="0">
      <alignment vertical="top" wrapText="1"/>
    </xf>
    <xf numFmtId="1" fontId="0" fillId="0" borderId="5" applyAlignment="1" pivotButton="0" quotePrefix="0" xfId="0">
      <alignment vertical="top" wrapText="1"/>
    </xf>
    <xf numFmtId="0" fontId="18" fillId="15" borderId="0" applyAlignment="1" pivotButton="0" quotePrefix="0" xfId="0">
      <alignment vertical="top" wrapText="1"/>
    </xf>
    <xf numFmtId="0" fontId="19" fillId="11" borderId="0" applyAlignment="1" pivotButton="0" quotePrefix="0" xfId="0">
      <alignment vertical="top" wrapText="1"/>
    </xf>
    <xf numFmtId="0" fontId="20" fillId="6" borderId="0" pivotButton="0" quotePrefix="0" xfId="0"/>
    <xf numFmtId="0" fontId="0" fillId="0" borderId="6" pivotButton="0" quotePrefix="0" xfId="0"/>
    <xf numFmtId="0" fontId="0" fillId="0" borderId="7" applyAlignment="1" pivotButton="0" quotePrefix="0" xfId="0">
      <alignment vertical="top" wrapText="1"/>
    </xf>
    <xf numFmtId="0" fontId="0" fillId="13" borderId="7" applyAlignment="1" pivotButton="0" quotePrefix="0" xfId="0">
      <alignment vertical="top" wrapText="1"/>
    </xf>
    <xf numFmtId="0" fontId="11" fillId="2" borderId="0" applyAlignment="1" pivotButton="0" quotePrefix="0" xfId="0">
      <alignment vertical="center"/>
    </xf>
    <xf numFmtId="0" fontId="0" fillId="4" borderId="0" applyAlignment="1" pivotButton="0" quotePrefix="0" xfId="0">
      <alignment vertical="top" wrapText="1"/>
    </xf>
    <xf numFmtId="0" fontId="3" fillId="3" borderId="0" applyAlignment="1" pivotButton="0" quotePrefix="0" xfId="0">
      <alignment vertical="center" wrapText="1"/>
    </xf>
    <xf numFmtId="0" fontId="0" fillId="16" borderId="0" applyAlignment="1" pivotButton="0" quotePrefix="0" xfId="0">
      <alignment vertical="top" wrapText="1"/>
    </xf>
    <xf numFmtId="2" fontId="0" fillId="4" borderId="0" applyAlignment="1" pivotButton="0" quotePrefix="0" xfId="0">
      <alignment vertical="top" wrapText="1"/>
    </xf>
    <xf numFmtId="2" fontId="0" fillId="5" borderId="0" applyAlignment="1" pivotButton="0" quotePrefix="0" xfId="0">
      <alignment vertical="top" wrapText="1"/>
    </xf>
    <xf numFmtId="0" fontId="21" fillId="16" borderId="0" applyAlignment="1" pivotButton="0" quotePrefix="0" xfId="0">
      <alignment vertical="top" wrapText="1"/>
    </xf>
    <xf numFmtId="2" fontId="0" fillId="16" borderId="0" applyAlignment="1" pivotButton="0" quotePrefix="0" xfId="0">
      <alignment vertical="top" wrapText="1"/>
    </xf>
    <xf numFmtId="0" fontId="12" fillId="2" borderId="0" applyAlignment="1" pivotButton="0" quotePrefix="0" xfId="0">
      <alignment wrapText="1"/>
    </xf>
    <xf numFmtId="0" fontId="12" fillId="3" borderId="0" applyAlignment="1" pivotButton="0" quotePrefix="0" xfId="0">
      <alignment vertical="center" wrapText="1"/>
    </xf>
    <xf numFmtId="0" fontId="21" fillId="0" borderId="0" applyAlignment="1" pivotButton="0" quotePrefix="0" xfId="0">
      <alignment vertical="top" wrapText="1"/>
    </xf>
    <xf numFmtId="0" fontId="4" fillId="8" borderId="1" applyAlignment="1" pivotButton="0" quotePrefix="0" xfId="0">
      <alignment vertical="top" wrapText="1"/>
    </xf>
    <xf numFmtId="0" fontId="12" fillId="3" borderId="0" pivotButton="0" quotePrefix="0" xfId="0"/>
    <xf numFmtId="0" fontId="12" fillId="3" borderId="0" applyAlignment="1" pivotButton="0" quotePrefix="0" xfId="0">
      <alignment vertical="top" wrapText="1"/>
    </xf>
    <xf numFmtId="166" fontId="0" fillId="0" borderId="0" applyAlignment="1" pivotButton="0" quotePrefix="0" xfId="0">
      <alignment vertical="top" wrapText="1"/>
    </xf>
    <xf numFmtId="167" fontId="0" fillId="0" borderId="0" applyAlignment="1" pivotButton="0" quotePrefix="0" xfId="0">
      <alignment vertical="top" wrapText="1"/>
    </xf>
    <xf numFmtId="168" fontId="0" fillId="0" borderId="0" applyAlignment="1" pivotButton="0" quotePrefix="0" xfId="0">
      <alignment vertical="top" wrapText="1"/>
    </xf>
    <xf numFmtId="0" fontId="1" fillId="6" borderId="0" pivotButton="0" quotePrefix="0" xfId="0"/>
    <xf numFmtId="0" fontId="0" fillId="6" borderId="0" pivotButton="0" quotePrefix="0" xfId="0"/>
    <xf numFmtId="0" fontId="22" fillId="0" borderId="0" applyAlignment="1" pivotButton="0" quotePrefix="0" xfId="0">
      <alignment vertical="center" wrapText="1"/>
    </xf>
    <xf numFmtId="0" fontId="3" fillId="6" borderId="8" applyAlignment="1" pivotButton="0" quotePrefix="0" xfId="0">
      <alignment vertical="center" wrapText="1"/>
    </xf>
    <xf numFmtId="0" fontId="0" fillId="0" borderId="8" applyAlignment="1" pivotButton="0" quotePrefix="0" xfId="0">
      <alignment vertical="top" wrapText="1"/>
    </xf>
    <xf numFmtId="0" fontId="0" fillId="7" borderId="8" applyAlignment="1" pivotButton="0" quotePrefix="0" xfId="0">
      <alignment vertical="top" wrapText="1"/>
    </xf>
    <xf numFmtId="0" fontId="0" fillId="8" borderId="8" applyAlignment="1" pivotButton="0" quotePrefix="0" xfId="0">
      <alignment vertical="top" wrapText="1"/>
    </xf>
    <xf numFmtId="0" fontId="23" fillId="0" borderId="0" pivotButton="0" quotePrefix="0" xfId="0"/>
    <xf numFmtId="0" fontId="4" fillId="14" borderId="1" applyAlignment="1" pivotButton="0" quotePrefix="0" xfId="0">
      <alignment vertical="top" wrapText="1"/>
    </xf>
    <xf numFmtId="0" fontId="4" fillId="7" borderId="1" applyAlignment="1" pivotButton="0" quotePrefix="0" xfId="0">
      <alignment vertical="top" wrapText="1"/>
    </xf>
    <xf numFmtId="0" fontId="4" fillId="5" borderId="1" applyAlignment="1" pivotButton="0" quotePrefix="0" xfId="0">
      <alignment vertical="top" wrapText="1"/>
    </xf>
    <xf numFmtId="0" fontId="20" fillId="6" borderId="0" applyAlignment="1" pivotButton="0" quotePrefix="0" xfId="0">
      <alignment vertical="center" wrapText="1"/>
    </xf>
    <xf numFmtId="0" fontId="0" fillId="17" borderId="0" applyAlignment="1" pivotButton="0" quotePrefix="0" xfId="0">
      <alignment vertical="center" wrapText="1"/>
    </xf>
    <xf numFmtId="0" fontId="0" fillId="7" borderId="0" applyAlignment="1" pivotButton="0" quotePrefix="0" xfId="0">
      <alignment vertical="center" wrapText="1"/>
    </xf>
    <xf numFmtId="0" fontId="0" fillId="11" borderId="0" applyAlignment="1" pivotButton="0" quotePrefix="0" xfId="0">
      <alignment vertical="center" wrapText="1"/>
    </xf>
    <xf numFmtId="0" fontId="0" fillId="0" borderId="9" applyAlignment="1" pivotButton="0" quotePrefix="0" xfId="0">
      <alignment vertical="top" wrapText="1"/>
    </xf>
    <xf numFmtId="169" fontId="0" fillId="5" borderId="9" applyAlignment="1" pivotButton="0" quotePrefix="0" xfId="0">
      <alignment vertical="top" wrapText="1"/>
    </xf>
    <xf numFmtId="0" fontId="0" fillId="14" borderId="9" applyAlignment="1" pivotButton="0" quotePrefix="0" xfId="0">
      <alignment vertical="top" wrapText="1"/>
    </xf>
    <xf numFmtId="170" fontId="0" fillId="5" borderId="9" applyAlignment="1" pivotButton="0" quotePrefix="0" xfId="0">
      <alignment vertical="top" wrapText="1"/>
    </xf>
    <xf numFmtId="0" fontId="0" fillId="5" borderId="9" applyAlignment="1" pivotButton="0" quotePrefix="0" xfId="0">
      <alignment vertical="top" wrapText="1"/>
    </xf>
    <xf numFmtId="169" fontId="0" fillId="14" borderId="9" applyAlignment="1" pivotButton="0" quotePrefix="0" xfId="0">
      <alignment vertical="top" wrapText="1"/>
    </xf>
    <xf numFmtId="0" fontId="0" fillId="11" borderId="9" applyAlignment="1" pivotButton="0" quotePrefix="0" xfId="0">
      <alignment vertical="top" wrapText="1"/>
    </xf>
    <xf numFmtId="0" fontId="0" fillId="9" borderId="9" applyAlignment="1" pivotButton="0" quotePrefix="0" xfId="0">
      <alignment vertical="top" wrapText="1"/>
    </xf>
    <xf numFmtId="169" fontId="0" fillId="0" borderId="9" applyAlignment="1" pivotButton="0" quotePrefix="0" xfId="0">
      <alignment vertical="top" wrapText="1"/>
    </xf>
    <xf numFmtId="0" fontId="0" fillId="5" borderId="0" pivotButton="0" quotePrefix="0" xfId="0"/>
    <xf numFmtId="0" fontId="0" fillId="11" borderId="0" pivotButton="0" quotePrefix="0" xfId="0"/>
    <xf numFmtId="171" fontId="0" fillId="0" borderId="0" pivotButton="0" quotePrefix="0" xfId="0"/>
    <xf numFmtId="0" fontId="12" fillId="6" borderId="1" applyAlignment="1" pivotButton="0" quotePrefix="0" xfId="0">
      <alignment vertical="center" wrapText="1"/>
    </xf>
    <xf numFmtId="169" fontId="0" fillId="5" borderId="9" applyAlignment="1" pivotButton="0" quotePrefix="0" xfId="0">
      <alignment vertical="top" wrapText="1"/>
    </xf>
    <xf numFmtId="170" fontId="0" fillId="5" borderId="9" applyAlignment="1" pivotButton="0" quotePrefix="0" xfId="0">
      <alignment vertical="top" wrapText="1"/>
    </xf>
    <xf numFmtId="169" fontId="0" fillId="14" borderId="9" applyAlignment="1" pivotButton="0" quotePrefix="0" xfId="0">
      <alignment vertical="top" wrapText="1"/>
    </xf>
    <xf numFmtId="169" fontId="0" fillId="0" borderId="9" applyAlignment="1" pivotButton="0" quotePrefix="0" xfId="0">
      <alignment vertical="top" wrapText="1"/>
    </xf>
    <xf numFmtId="0" fontId="2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Copilot</author>
  </authors>
  <commentList>
    <comment ref="B4" authorId="0" shapeId="0">
      <text>
        <t>Input cell. Preserve blank when not agreed or verified.</t>
      </text>
    </comment>
    <comment ref="B5" authorId="0" shapeId="0">
      <text>
        <t>Input cell. Preserve blank when not agreed or verified.</t>
      </text>
    </comment>
    <comment ref="B6" authorId="0" shapeId="0">
      <text>
        <t>Input cell. Preserve blank when not agreed or verified.</t>
      </text>
    </comment>
    <comment ref="B7" authorId="0" shapeId="0">
      <text>
        <t>Input cell. Preserve blank when not agreed or verified.</t>
      </text>
    </comment>
    <comment ref="B8" authorId="0" shapeId="0">
      <text>
        <t>Input cell. Preserve blank when not agreed or verified.</t>
      </text>
    </comment>
    <comment ref="B9" authorId="0" shapeId="0">
      <text>
        <t>Input cell. Preserve blank when not agreed or verified.</t>
      </text>
    </comment>
    <comment ref="B10" authorId="0" shapeId="0">
      <text>
        <t>Input cell. Preserve blank when not agreed or verified.</t>
      </text>
    </comment>
    <comment ref="B11" authorId="0" shapeId="0">
      <text>
        <t>Input cell. Preserve blank when not agreed or verified.</t>
      </text>
    </comment>
    <comment ref="B12" authorId="0" shapeId="0">
      <text>
        <t>Input cell. Preserve blank when not agreed or verified.</t>
      </text>
    </comment>
    <comment ref="B13" authorId="0" shapeId="0">
      <text>
        <t>Input cell. Preserve blank when not agreed or verified.</t>
      </text>
    </comment>
    <comment ref="B14" authorId="0" shapeId="0">
      <text>
        <t>Input cell. Preserve blank when not agreed or verified.</t>
      </text>
    </comment>
    <comment ref="B15" authorId="0" shapeId="0">
      <text>
        <t>Input cell. Preserve blank when not agreed or verified.</t>
      </text>
    </comment>
    <comment ref="B16" authorId="0" shapeId="0">
      <text>
        <t>Input cell. Preserve blank when not agreed or verified.</t>
      </text>
    </comment>
    <comment ref="B17" authorId="0" shapeId="0">
      <text>
        <t>Input cell. Preserve blank when not agreed or verified.</t>
      </text>
    </comment>
    <comment ref="B18" authorId="0" shapeId="0">
      <text>
        <t>Input cell. Preserve blank when not agreed or verified.</t>
      </text>
    </comment>
    <comment ref="B19" authorId="0" shapeId="0">
      <text>
        <t>Input cell. Preserve blank when not agreed or verified.</t>
      </text>
    </comment>
    <comment ref="B20" authorId="0" shapeId="0">
      <text>
        <t>Input cell. Preserve blank when not agreed or verified.</t>
      </text>
    </comment>
    <comment ref="B21" authorId="0" shapeId="0">
      <text>
        <t>Input cell. Preserve blank when not agreed or verified.</t>
      </text>
    </comment>
    <comment ref="B22" authorId="0" shapeId="0">
      <text>
        <t>Input cell. Preserve blank when not agreed or verified.</t>
      </text>
    </comment>
    <comment ref="B23" authorId="0" shapeId="0">
      <text>
        <t>Input cell. Preserve blank when not agreed or verified.</t>
      </text>
    </comment>
    <comment ref="B24" authorId="0" shapeId="0">
      <text>
        <t>Input cell. Preserve blank when not agreed or verified.</t>
      </text>
    </comment>
    <comment ref="B25" authorId="0" shapeId="0">
      <text>
        <t>Input cell. Preserve blank when not agreed or verified.</t>
      </text>
    </comment>
    <comment ref="B26" authorId="0" shapeId="0">
      <text>
        <t>Input cell. Preserve blank when not agreed or verified.</t>
      </text>
    </comment>
    <comment ref="B27" authorId="0" shapeId="0">
      <text>
        <t>Input cell. Preserve blank when not agreed or verified.</t>
      </text>
    </comment>
    <comment ref="B28" authorId="0" shapeId="0">
      <text>
        <t>Input cell. Preserve blank when not agreed or verified.</t>
      </text>
    </comment>
    <comment ref="B29" authorId="0" shapeId="0">
      <text>
        <t>Input cell. Preserve blank when not agreed or verified.</t>
      </text>
    </comment>
    <comment ref="B33" authorId="0" shapeId="0">
      <text>
        <t>Partner 1: business development; no salary comparator substituted.</t>
      </text>
    </comment>
    <comment ref="B34" authorId="0" shapeId="0">
      <text>
        <t>Partner 2: OSINT, external communications and event management.</t>
      </text>
    </comment>
    <comment ref="B35" authorId="0" shapeId="0">
      <text>
        <t>Partner 3: Product Owner and developer coordination.</t>
      </text>
    </comment>
    <comment ref="B36" authorId="0" shapeId="0">
      <text>
        <t>One-time OSINT/data-management training; max one day; actual effort TBD.</t>
      </text>
    </comment>
    <comment ref="B37" authorId="0" shapeId="0">
      <text>
        <t>At least one analyst; hours allocated once across work packages.</t>
      </text>
    </comment>
    <comment ref="B38" authorId="0" shapeId="0">
      <text>
        <t>Only if external reviewers are paid; neither payment nor unpaid status assumed.</t>
      </text>
    </comment>
    <comment ref="B39" authorId="0" shapeId="0">
      <text>
        <t>Optional assistant; excluded unless selected and effort is supplied.</t>
      </text>
    </comment>
    <comment ref="B40" authorId="0" shapeId="0">
      <text>
        <t>Only converts stated 2–3 T&amp;I preparation days for one person.</t>
      </text>
    </comment>
    <comment ref="B41" authorId="0" shapeId="0">
      <text>
        <t>Staffing minimum only; not duration or cost.</t>
      </text>
    </comment>
    <comment ref="B42" authorId="0" shapeId="0">
      <text>
        <t>Maximum for one-time OSINT/data-management training; not base hours.</t>
      </text>
    </comment>
    <comment ref="B43" authorId="0" shapeId="0">
      <text>
        <t>Upper bound only; not included as base training hours.</t>
      </text>
    </comment>
    <comment ref="B44" authorId="0" shapeId="0">
      <text>
        <t>Select Yes only after scope approval; effort and rate remain separate.</t>
      </text>
    </comment>
    <comment ref="B45" authorId="0" shapeId="0">
      <text>
        <t>No default; do not reuse unapproved runway cap.</t>
      </text>
    </comment>
    <comment ref="B46" authorId="0" shapeId="0">
      <text>
        <t>No default; used with monthly cost in Inputs!B24.</t>
      </text>
    </comment>
  </commentList>
</comments>
</file>

<file path=xl/comments/comment2.xml><?xml version="1.0" encoding="utf-8"?>
<comments xmlns="http://schemas.openxmlformats.org/spreadsheetml/2006/main">
  <authors>
    <author>Copilot</author>
  </authors>
  <commentList>
    <comment ref="F7" authorId="0" shapeId="0">
      <text>
        <t>Linked to Partner_Effort; 16–24 hours are conditional on 8 assumed hours/day and one person. Base is unknown.</t>
      </text>
    </comment>
    <comment ref="J7" authorId="0" shapeId="0">
      <text>
        <t>Role/rate allocation for preparation has not been assigned.</t>
      </text>
    </comment>
    <comment ref="J8" authorId="0" shapeId="0">
      <text>
        <t>Role split is not agreed. Allocate hours across partner functions or enter a specifically agreed package rate; do not use an unweighted average.</t>
      </text>
    </comment>
    <comment ref="J9" authorId="0" shapeId="0">
      <text>
        <t>Role split is not agreed. Allocate hours across partner functions or enter a specifically agreed package rate; do not use an unweighted average.</t>
      </text>
    </comment>
    <comment ref="J10" authorId="0" shapeId="0">
      <text>
        <t>Role split is not agreed. Allocate hours across partner functions or enter a specifically agreed package rate; do not use an unweighted average.</t>
      </text>
    </comment>
    <comment ref="J11" authorId="0" shapeId="0">
      <text>
        <t>Role split is not agreed. Allocate hours across partner functions or enter a specifically agreed package rate; do not use an unweighted average.</t>
      </text>
    </comment>
    <comment ref="J12" authorId="0" shapeId="0">
      <text>
        <t>Role split is not agreed. Allocate hours across partner functions or enter a specifically agreed package rate; do not use an unweighted average.</t>
      </text>
    </comment>
    <comment ref="J13" authorId="0" shapeId="0">
      <text>
        <t>Role split is not agreed. Allocate hours across partner functions or enter a specifically agreed package rate; do not use an unweighted average.</t>
      </text>
    </comment>
    <comment ref="J14" authorId="0" shapeId="0">
      <text>
        <t>Role split is not agreed. Allocate hours across partner functions or enter a specifically agreed package rate; do not use an unweighted average.</t>
      </text>
    </comment>
    <comment ref="J15" authorId="0" shapeId="0">
      <text>
        <t>Role split is not agreed. Allocate hours across partner functions or enter a specifically agreed package rate; do not use an unweighted average.</t>
      </text>
    </comment>
    <comment ref="J16" authorId="0" shapeId="0">
      <text>
        <t>Role split is not agreed. Allocate hours across partner functions or enter a specifically agreed package rate; do not use an unweighted average.</t>
      </text>
    </comment>
    <comment ref="J17" authorId="0" shapeId="0">
      <text>
        <t>Role split is not agreed. Allocate hours across partner functions or enter a specifically agreed package rate; do not use an unweighted average.</t>
      </text>
    </comment>
    <comment ref="J18" authorId="0" shapeId="0">
      <text>
        <t>Role split is not agreed. Allocate hours across partner functions or enter a specifically agreed package rate; do not use an unweighted average.</t>
      </text>
    </comment>
    <comment ref="N30" authorId="0" shapeId="0">
      <text>
        <t>Possible workload only; include after pilot design and client approval.</t>
      </text>
    </comment>
    <comment ref="N35" authorId="0" shapeId="0">
      <text>
        <t>Gate 4A is excluded until the client/board makes a go/no-go decision.</t>
      </text>
    </comment>
    <comment ref="N36" authorId="0" shapeId="0">
      <text>
        <t>Track 5 remains conditional until Gate 4A approves continuation.</t>
      </text>
    </comment>
    <comment ref="N43" authorId="0" shapeId="0">
      <text>
        <t>Internal transfer conditional on reuse; pay only after first client payment; never add twice.</t>
      </text>
    </comment>
  </commentList>
</comments>
</file>

<file path=xl/comments/comment3.xml><?xml version="1.0" encoding="utf-8"?>
<comments xmlns="http://schemas.openxmlformats.org/spreadsheetml/2006/main">
  <authors>
    <author>Copilot</author>
  </authors>
  <commentList>
    <comment ref="E5" authorId="0" shapeId="0">
      <text>
        <t>Source workbook planning assumption; not measured hours or a contractual commitment.</t>
      </text>
    </comment>
    <comment ref="F5" authorId="0" shapeId="0">
      <text>
        <t>Source workbook planning assumption; not measured hours or a contractual commitment.</t>
      </text>
    </comment>
    <comment ref="G5" authorId="0" shapeId="0">
      <text>
        <t>Source workbook planning assumption; not measured hours or a contractual commitment.</t>
      </text>
    </comment>
    <comment ref="E6" authorId="0" shapeId="0">
      <text>
        <t>Source workbook planning assumption; not measured hours or a contractual commitment.</t>
      </text>
    </comment>
    <comment ref="F6" authorId="0" shapeId="0">
      <text>
        <t>Source workbook planning assumption; not measured hours or a contractual commitment.</t>
      </text>
    </comment>
    <comment ref="G6" authorId="0" shapeId="0">
      <text>
        <t>Source workbook planning assumption; not measured hours or a contractual commitment.</t>
      </text>
    </comment>
    <comment ref="E7" authorId="0" shapeId="0">
      <text>
        <t>Source workbook planning assumption; not measured hours or a contractual commitment.</t>
      </text>
    </comment>
    <comment ref="F7" authorId="0" shapeId="0">
      <text>
        <t>Source workbook planning assumption; not measured hours or a contractual commitment.</t>
      </text>
    </comment>
    <comment ref="G7" authorId="0" shapeId="0">
      <text>
        <t>Source workbook planning assumption; not measured hours or a contractual commitment.</t>
      </text>
    </comment>
    <comment ref="E8" authorId="0" shapeId="0">
      <text>
        <t>Source workbook planning assumption; not measured hours or a contractual commitment.</t>
      </text>
    </comment>
    <comment ref="F8" authorId="0" shapeId="0">
      <text>
        <t>Source workbook planning assumption; not measured hours or a contractual commitment.</t>
      </text>
    </comment>
    <comment ref="G8" authorId="0" shapeId="0">
      <text>
        <t>Source workbook planning assumption; not measured hours or a contractual commitment.</t>
      </text>
    </comment>
    <comment ref="E9" authorId="0" shapeId="0">
      <text>
        <t>Source workbook planning assumption; not measured hours or a contractual commitment.</t>
      </text>
    </comment>
    <comment ref="F9" authorId="0" shapeId="0">
      <text>
        <t>Source workbook planning assumption; not measured hours or a contractual commitment.</t>
      </text>
    </comment>
    <comment ref="G9" authorId="0" shapeId="0">
      <text>
        <t>Source workbook planning assumption; not measured hours or a contractual commitment.</t>
      </text>
    </comment>
    <comment ref="E10" authorId="0" shapeId="0">
      <text>
        <t>Source workbook planning assumption; not measured hours or a contractual commitment.</t>
      </text>
    </comment>
    <comment ref="F10" authorId="0" shapeId="0">
      <text>
        <t>Source workbook planning assumption; not measured hours or a contractual commitment.</t>
      </text>
    </comment>
    <comment ref="G10" authorId="0" shapeId="0">
      <text>
        <t>Source workbook planning assumption; not measured hours or a contractual commitment.</t>
      </text>
    </comment>
    <comment ref="E11" authorId="0" shapeId="0">
      <text>
        <t>Source workbook planning assumption; not measured hours or a contractual commitment.</t>
      </text>
    </comment>
    <comment ref="F11" authorId="0" shapeId="0">
      <text>
        <t>Source workbook planning assumption; not measured hours or a contractual commitment.</t>
      </text>
    </comment>
    <comment ref="G11" authorId="0" shapeId="0">
      <text>
        <t>Source workbook planning assumption; not measured hours or a contractual commitment.</t>
      </text>
    </comment>
    <comment ref="E12" authorId="0" shapeId="0">
      <text>
        <t>Source workbook planning assumption; not measured hours or a contractual commitment.</t>
      </text>
    </comment>
    <comment ref="F12" authorId="0" shapeId="0">
      <text>
        <t>Source workbook planning assumption; not measured hours or a contractual commitment.</t>
      </text>
    </comment>
    <comment ref="G12" authorId="0" shapeId="0">
      <text>
        <t>Source workbook planning assumption; not measured hours or a contractual commitment.</t>
      </text>
    </comment>
    <comment ref="E13" authorId="0" shapeId="0">
      <text>
        <t>Source workbook planning assumption; not measured hours or a contractual commitment.</t>
      </text>
    </comment>
    <comment ref="F13" authorId="0" shapeId="0">
      <text>
        <t>Source workbook planning assumption; not measured hours or a contractual commitment.</t>
      </text>
    </comment>
    <comment ref="G13" authorId="0" shapeId="0">
      <text>
        <t>Source workbook planning assumption; not measured hours or a contractual commitment.</t>
      </text>
    </comment>
    <comment ref="E14" authorId="0" shapeId="0">
      <text>
        <t>Source workbook planning assumption; not measured hours or a contractual commitment.</t>
      </text>
    </comment>
    <comment ref="F14" authorId="0" shapeId="0">
      <text>
        <t>Source workbook planning assumption; not measured hours or a contractual commitment.</t>
      </text>
    </comment>
    <comment ref="G14" authorId="0" shapeId="0">
      <text>
        <t>Source workbook planning assumption; not measured hours or a contractual commitment.</t>
      </text>
    </comment>
    <comment ref="E15" authorId="0" shapeId="0">
      <text>
        <t>Source workbook planning assumption; not measured hours or a contractual commitment.</t>
      </text>
    </comment>
    <comment ref="F15" authorId="0" shapeId="0">
      <text>
        <t>Source workbook planning assumption; not measured hours or a contractual commitment.</t>
      </text>
    </comment>
    <comment ref="G15" authorId="0" shapeId="0">
      <text>
        <t>Source workbook planning assumption; not measured hours or a contractual commitment.</t>
      </text>
    </comment>
    <comment ref="E16" authorId="0" shapeId="0">
      <text>
        <t>Source workbook planning assumption; not measured hours or a contractual commitment.</t>
      </text>
    </comment>
    <comment ref="F16" authorId="0" shapeId="0">
      <text>
        <t>Source workbook planning assumption; not measured hours or a contractual commitment.</t>
      </text>
    </comment>
    <comment ref="G16" authorId="0" shapeId="0">
      <text>
        <t>Source workbook planning assumption; not measured hours or a contractual commitment.</t>
      </text>
    </comment>
    <comment ref="E17" authorId="0" shapeId="0">
      <text>
        <t>Source workbook planning assumption; not measured hours or a contractual commitment.</t>
      </text>
    </comment>
    <comment ref="F17" authorId="0" shapeId="0">
      <text>
        <t>Source workbook planning assumption; not measured hours or a contractual commitment.</t>
      </text>
    </comment>
    <comment ref="G17" authorId="0" shapeId="0">
      <text>
        <t>Source workbook planning assumption; not measured hours or a contractual commitment.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hyperlink" Target="https://clutch.co/developers/pricing" TargetMode="External" Id="rId1" /><Relationship Type="http://schemas.openxmlformats.org/officeDocument/2006/relationships/hyperlink" Target="https://www.lorienglobal.com/insights/software-developer-contract-rates-in-the-uk" TargetMode="External" Id="rId2" /><Relationship Type="http://schemas.openxmlformats.org/officeDocument/2006/relationships/hyperlink" Target="https://clutch.co/developers/pricing" TargetMode="External" Id="rId3" /><Relationship Type="http://schemas.openxmlformats.org/officeDocument/2006/relationships/hyperlink" Target="https://clutch.co/developers/pricing" TargetMode="External" Id="rId4" /></Relationships>
</file>

<file path=xl/worksheets/_rels/sheet6.xml.rels><Relationships xmlns="http://schemas.openxmlformats.org/package/2006/relationships"><Relationship Type="http://schemas.openxmlformats.org/officeDocument/2006/relationships/hyperlink" Target="https://clutch.co/developers/pricing" TargetMode="External" Id="rId1" /><Relationship Type="http://schemas.openxmlformats.org/officeDocument/2006/relationships/hyperlink" Target="https://www.lorienglobal.com/insights/software-developer-contract-rates-in-the-uk" TargetMode="External" Id="rId2" /><Relationship Type="http://schemas.openxmlformats.org/officeDocument/2006/relationships/hyperlink" Target="https://www.lorienglobal.com/insights/software-developer-contract-rates-in-the-uk" TargetMode="External" Id="rId3" /><Relationship Type="http://schemas.openxmlformats.org/officeDocument/2006/relationships/hyperlink" Target="https://www.lorienglobal.com/insights/software-developer-contract-rates-in-the-uk" TargetMode="External" Id="rId4" /><Relationship Type="http://schemas.openxmlformats.org/officeDocument/2006/relationships/hyperlink" Target="https://www.gov.uk/government/publications/the-digital-data-and-technology-playbook/contracting-for-agile-guidance-note-html" TargetMode="External" Id="rId5" /><Relationship Type="http://schemas.openxmlformats.org/officeDocument/2006/relationships/hyperlink" Target="https://www.acquisition.gov/far/16.103" TargetMode="External" Id="rId6" /><Relationship Type="http://schemas.openxmlformats.org/officeDocument/2006/relationships/hyperlink" Target="https://www.ons.gov.uk/employmentandlabourmarket/peopleinwork/earningsandworkinghours/bulletins/annualsurveyofhoursandearnings/2025" TargetMode="External" Id="rId7" /><Relationship Type="http://schemas.openxmlformats.org/officeDocument/2006/relationships/hyperlink" Target="https://www.bls.gov/news.release/ocwage.t01.htm" TargetMode="External" Id="rId8" /><Relationship Type="http://schemas.openxmlformats.org/officeDocument/2006/relationships/hyperlink" Target="https://www.bls.gov/news.release/ocwage.t01.htm" TargetMode="External" Id="rId9" /><Relationship Type="http://schemas.openxmlformats.org/officeDocument/2006/relationships/hyperlink" Target="https://www.bls.gov/news.release/ocwage.t01.htm" TargetMode="External" Id="rId10" /><Relationship Type="http://schemas.openxmlformats.org/officeDocument/2006/relationships/hyperlink" Target="https://www.bls.gov/news.release/ocwage.t01.htm" TargetMode="External" Id="rId11" /><Relationship Type="http://schemas.openxmlformats.org/officeDocument/2006/relationships/hyperlink" Target="https://www.bls.gov/news.release/ocwage.t01.htm" TargetMode="External" Id="rId12" /><Relationship Type="http://schemas.openxmlformats.org/officeDocument/2006/relationships/hyperlink" Target="https://dou.ua/lenta/articles/salary-report-managers-winter-2026" TargetMode="External" Id="rId13" /><Relationship Type="http://schemas.openxmlformats.org/officeDocument/2006/relationships/hyperlink" Target="https://dou.ua/lenta/articles/salary-report-managers-winter-2026" TargetMode="External" Id="rId14" /><Relationship Type="http://schemas.openxmlformats.org/officeDocument/2006/relationships/hyperlink" Target="https://www.ons.gov.uk/employmentandlabourmarket/peopleinwork/earningsandworkinghours/datasets/occupation4digitsoc2010ashetable14" TargetMode="External" Id="rId15" /></Relationships>
</file>

<file path=xl/worksheets/_rels/sheet7.xml.rels><Relationships xmlns="http://schemas.openxmlformats.org/package/2006/relationships"><Relationship Type="http://schemas.openxmlformats.org/officeDocument/2006/relationships/hyperlink" Target="https://www.bls.gov/oes/2023/may/oes151252.htm" TargetMode="External" Id="rId1" /><Relationship Type="http://schemas.openxmlformats.org/officeDocument/2006/relationships/hyperlink" Target="https://www.bls.gov/oes/2023/may/oes151252.htm" TargetMode="External" Id="rId2" /><Relationship Type="http://schemas.openxmlformats.org/officeDocument/2006/relationships/hyperlink" Target="https://www.sec.gov/Archives/edgar/data/1661123/000119312521301055/d161028ds1.htm" TargetMode="External" Id="rId3" /><Relationship Type="http://schemas.openxmlformats.org/officeDocument/2006/relationships/hyperlink" Target="https://www.sec.gov/Archives/edgar/data/1321655/000132165524000022/pltr-20231231.htm, Item 7, p. 66" TargetMode="External" Id="rId4" /><Relationship Type="http://schemas.openxmlformats.org/officeDocument/2006/relationships/hyperlink" Target="https://dou.ua/lenta/articles/salary-report-devs-winter-2025/" TargetMode="External" Id="rId5" /></Relationships>
</file>

<file path=xl/worksheets/_rels/sheet10.xml.rels><Relationships xmlns="http://schemas.openxmlformats.org/package/2006/relationships"><Relationship Type="http://schemas.openxmlformats.org/officeDocument/2006/relationships/hyperlink" Target="https://clutch.co/developers/pricing" TargetMode="External" Id="rId1" /><Relationship Type="http://schemas.openxmlformats.org/officeDocument/2006/relationships/hyperlink" Target="https://clutch.co/developers/pricing" TargetMode="External" Id="rId2" /><Relationship Type="http://schemas.openxmlformats.org/officeDocument/2006/relationships/hyperlink" Target="https://clutch.co/developers/pricing" TargetMode="External" Id="rId3" /><Relationship Type="http://schemas.openxmlformats.org/officeDocument/2006/relationships/hyperlink" Target="https://www.lorienglobal.com/insights/software-developer-contract-rates-in-the-uk" TargetMode="External" Id="rId4" /><Relationship Type="http://schemas.openxmlformats.org/officeDocument/2006/relationships/hyperlink" Target="https://www.gov.uk/government/publications/the-digital-data-and-technology-playbook/contracting-for-agile-guidance-note-html" TargetMode="External" Id="rId5" /><Relationship Type="http://schemas.openxmlformats.org/officeDocument/2006/relationships/hyperlink" Target="https://www.acquisition.gov/far/16.103" TargetMode="External" Id="rId6" /><Relationship Type="http://schemas.openxmlformats.org/officeDocument/2006/relationships/hyperlink" Target="https://www.gov.uk/government/publications/the-digital-data-and-technology-playbook/contracting-for-agile-guidance-note-html" TargetMode="External" Id="rId7" /><Relationship Type="http://schemas.openxmlformats.org/officeDocument/2006/relationships/hyperlink" Target="https://www.acquisition.gov/far/16.103" TargetMode="External" Id="rId8" /><Relationship Type="http://schemas.openxmlformats.org/officeDocument/2006/relationships/hyperlink" Target="https://www.gov.uk/government/publications/the-digital-data-and-technology-playbook/contracting-for-agile-guidance-note-html" TargetMode="External" Id="rId9" /><Relationship Type="http://schemas.openxmlformats.org/officeDocument/2006/relationships/hyperlink" Target="https://www.acquisition.gov/far/16.103" TargetMode="External" Id="rId10" /><Relationship Type="http://schemas.openxmlformats.org/officeDocument/2006/relationships/hyperlink" Target="https://www.gov.uk/government/publications/the-digital-data-and-technology-playbook/contracting-for-agile-guidance-note-html" TargetMode="External" Id="rId11" /><Relationship Type="http://schemas.openxmlformats.org/officeDocument/2006/relationships/hyperlink" Target="https://www.ons.gov.uk/employmentandlabourmarket/peopleinwork/earningsandworkinghours/bulletins/annualsurveyofhoursandearnings/2025" TargetMode="External" Id="rId12" /><Relationship Type="http://schemas.openxmlformats.org/officeDocument/2006/relationships/hyperlink" Target="https://www.lorienglobal.com/insights/software-developer-contract-rates-in-the-uk" TargetMode="External" Id="rId13" /><Relationship Type="http://schemas.openxmlformats.org/officeDocument/2006/relationships/hyperlink" Target="https://clutch.co/developers/pricing" TargetMode="External" Id="rId14" /><Relationship Type="http://schemas.openxmlformats.org/officeDocument/2006/relationships/hyperlink" Target="https://clutch.co/developers/pricing" TargetMode="External" Id="rId15" /><Relationship Type="http://schemas.openxmlformats.org/officeDocument/2006/relationships/hyperlink" Target="https://www.bls.gov/news.release/ocwage.t01.htm" TargetMode="External" Id="rId16" /><Relationship Type="http://schemas.openxmlformats.org/officeDocument/2006/relationships/hyperlink" Target="https://www.bls.gov/news.release/ocwage.t01.htm" TargetMode="External" Id="rId17" /><Relationship Type="http://schemas.openxmlformats.org/officeDocument/2006/relationships/hyperlink" Target="https://www.bls.gov/news.release/ocwage.t01.htm" TargetMode="External" Id="rId18" /><Relationship Type="http://schemas.openxmlformats.org/officeDocument/2006/relationships/hyperlink" Target="https://www.bls.gov/news.release/ocwage.t01.htm" TargetMode="External" Id="rId19" /><Relationship Type="http://schemas.openxmlformats.org/officeDocument/2006/relationships/hyperlink" Target="https://www.bls.gov/news.release/ocwage.t01.htm" TargetMode="External" Id="rId20" /><Relationship Type="http://schemas.openxmlformats.org/officeDocument/2006/relationships/hyperlink" Target="https://dou.ua/lenta/articles/salary-report-managers-winter-2026" TargetMode="External" Id="rId21" /><Relationship Type="http://schemas.openxmlformats.org/officeDocument/2006/relationships/hyperlink" Target="https://dou.ua/lenta/articles/salary-report-managers-winter-2026" TargetMode="External" Id="rId22" /><Relationship Type="http://schemas.openxmlformats.org/officeDocument/2006/relationships/hyperlink" Target="https://www.ons.gov.uk/employmentandlabourmarket/peopleinwork/earningsandworkinghours/datasets/occupation4digitsoc2010ashetable14" TargetMode="External" Id="rId23" /></Relationships>
</file>

<file path=xl/worksheets/sheet1.xml><?xml version="1.0" encoding="utf-8"?>
<worksheet xmlns="http://schemas.openxmlformats.org/spreadsheetml/2006/main">
  <sheetPr>
    <outlinePr summaryBelow="1" summaryRight="1"/>
    <pageSetUpPr fitToPage="1"/>
  </sheetPr>
  <dimension ref="A1:D19"/>
  <sheetViews>
    <sheetView showGridLines="0" tabSelected="0" zoomScale="90" workbookViewId="0">
      <pane ySplit="2" topLeftCell="A3" activePane="bottomLeft" state="frozen"/>
      <selection pane="bottomLeft" activeCell="A1" sqref="A1"/>
    </sheetView>
  </sheetViews>
  <sheetFormatPr baseColWidth="8" defaultRowHeight="15"/>
  <cols>
    <col width="24" customWidth="1" min="1" max="1"/>
    <col width="32" customWidth="1" min="2" max="2"/>
    <col width="32" customWidth="1" min="3" max="3"/>
    <col width="32" customWidth="1" min="4" max="4"/>
  </cols>
  <sheetData>
    <row r="1" ht="28" customHeight="1">
      <c r="A1" s="1" t="inlineStr">
        <is>
          <t>ISRM partner budget model — draft for decision</t>
        </is>
      </c>
    </row>
    <row r="3" ht="42" customHeight="1">
      <c r="A3" s="2" t="inlineStr">
        <is>
          <t>Purpose</t>
        </is>
      </c>
      <c r="B3" s="25" t="inlineStr">
        <is>
          <t>A transparent scope and budget sensitivity model for partner review. It is not a signed offer, quotation, delivery commitment, or verified project registry.</t>
        </is>
      </c>
      <c r="C3" s="19" t="n"/>
      <c r="D3" s="19" t="n"/>
    </row>
    <row r="4" ht="42" customHeight="1">
      <c r="A4" s="2" t="inlineStr">
        <is>
          <t>Scope basis</t>
        </is>
      </c>
      <c r="B4" s="25" t="inlineStr">
        <is>
          <t>The original 13-package greenfield fixed-core estimate is retained as a historical reference only. It is not the revised-scope estimate and includes no validated reuse credit for the client demo.</t>
        </is>
      </c>
      <c r="C4" s="19" t="n"/>
      <c r="D4" s="19" t="n"/>
    </row>
    <row r="5" ht="42" customHeight="1">
      <c r="A5" s="2" t="inlineStr">
        <is>
          <t>Effort status</t>
        </is>
      </c>
      <c r="B5" s="25" t="inlineStr">
        <is>
          <t>The original Low/Base/High hours remain historical assumptions for the earlier scope only; they are not current product or pricing tiers. Revised production effort, partner consulting effort, demo-module compensation, external costs and operating costs remain TBD pending scope reconciliation, live measurement, partner decisions and comparable quotes. AI use and API costs are excluded from the committed MVP and require separate approval.</t>
        </is>
      </c>
      <c r="C5" s="19" t="n"/>
      <c r="D5" s="19" t="n"/>
    </row>
    <row r="6" ht="42" customHeight="1">
      <c r="A6" s="2" t="inlineStr">
        <is>
          <t>Rate sensitivity</t>
        </is>
      </c>
      <c r="B6" s="25" t="inlineStr">
        <is>
          <t>Published Clutch provider-rate bands are multiplied by assumed person-hours only to show sensitivity. This is not a quote, not a national rate ceiling, and not the partner team’s actual rate. The project delivery location/team is not confirmed.</t>
        </is>
      </c>
      <c r="C6" s="19" t="n"/>
      <c r="D6" s="19" t="n"/>
    </row>
    <row r="7" ht="42" customHeight="1">
      <c r="A7" s="2" t="inlineStr">
        <is>
          <t>Currency</t>
        </is>
      </c>
      <c r="B7" s="25" t="inlineStr">
        <is>
          <t>Client preference is GBP; confirm contract currency with partners/client before budgeting. No FX conversion is performed. The UK contractor comparator is shown in GBP, separately from US/Ukraine provider-company benchmarks in USD.</t>
        </is>
      </c>
      <c r="C7" s="19" t="n"/>
      <c r="D7" s="19" t="n"/>
    </row>
    <row r="8" ht="42" customHeight="1">
      <c r="A8" s="2" t="inlineStr">
        <is>
          <t>Allocation</t>
        </is>
      </c>
      <c r="B8" s="25" t="inlineStr">
        <is>
          <t>The developer and core-team/admin/relationship/representation bands are independent target ranges. Do not add their upper endpoints to a separate profit share. Profit is only a possible residual after verified costs and remains undecided.</t>
        </is>
      </c>
      <c r="C8" s="19" t="n"/>
      <c r="D8" s="19" t="n"/>
    </row>
    <row r="9" ht="42" customHeight="1">
      <c r="A9" s="2" t="inlineStr">
        <is>
          <t>Payment terms</t>
        </is>
      </c>
      <c r="B9" s="25" t="inlineStr">
        <is>
          <t>The user-approved proposal constraint is an advance of at least 30% and no more than 3 payments total. Later milestone shares remain blank until agreed.</t>
        </is>
      </c>
      <c r="C9" s="19" t="n"/>
      <c r="D9" s="19" t="n"/>
    </row>
    <row r="10" ht="42" customHeight="1">
      <c r="A10" s="2" t="inlineStr">
        <is>
          <t>SaaS</t>
        </is>
      </c>
      <c r="B10" s="25" t="inlineStr">
        <is>
          <t>No customer/member data, legal basis, consent, or migration permission is assumed. Alex's ~11,700 LinkedIn group count is user-reported and unverified (screenshot/date not retained); it is not unique reach, an expert count, or a conversion denominator. It supersedes the earlier ~11,000 working approximation for planning only.</t>
        </is>
      </c>
      <c r="C10" s="19" t="n"/>
      <c r="D10" s="19" t="n"/>
    </row>
    <row r="11" ht="42" customHeight="1">
      <c r="A11" s="2" t="inlineStr">
        <is>
          <t>Data boundary</t>
        </is>
      </c>
      <c r="B11" s="25" t="inlineStr">
        <is>
          <t>Blue inputs on Inputs, Work_Packages and Project_Budget; green formulas; yellow assumptions; orange unresolved gates. Blank means unknown, not zero. Inputs!B30 is the separate demo reuse fee, not added twice. Project_Budget is the project-wide revised-scope model; Budget_Model remains historical.</t>
        </is>
      </c>
      <c r="C11" s="19" t="n"/>
      <c r="D11" s="19" t="n"/>
    </row>
    <row r="12" ht="42" customHeight="1">
      <c r="A12" s="2" t="inlineStr">
        <is>
          <t>Using the workbook</t>
        </is>
      </c>
      <c r="B12" s="25" t="inlineStr">
        <is>
          <t>Use Inputs for contract currency, partner role rates and periods, plus the agreed whole-project reference amount in B47; Project_Budget for bounded effort/cost inputs, scope decisions, KPI/acceptance and roll-up; Partner_Effort and Revised_Scope remain detailed schedules. Historical Low/Base/High figures are not current offer tiers.</t>
        </is>
      </c>
      <c r="C12" s="19" t="n"/>
      <c r="D12" s="19" t="n"/>
    </row>
    <row r="13" ht="42" customHeight="1">
      <c r="A13" s="2" t="inlineStr">
        <is>
          <t>Source limits</t>
        </is>
      </c>
      <c r="B13" s="25" t="inlineStr">
        <is>
          <t>The draft Source_Register provides a model-local audit trail. It is not a canonical project registry. The original source files remain unchanged; revised-scope scenario assumptions are documented on Revised_Scope.</t>
        </is>
      </c>
      <c r="C13" s="19" t="n"/>
      <c r="D13" s="19" t="n"/>
    </row>
    <row r="14">
      <c r="A14" s="2" t="inlineStr">
        <is>
          <t>Revised scope / scenarios</t>
        </is>
      </c>
      <c r="B14" s="25" t="inlineStr">
        <is>
          <t>Revised_Scope documents demo reuse, residual work, strategy/Trust &amp; Influence and 300/400/500 dossier scenarios. Project_Budget rolls up all five tracks and Gate 4A; conditional work stays excluded until selected. Unknown inputs remain TBD.</t>
        </is>
      </c>
      <c r="C14" s="19" t="n"/>
      <c r="D14" s="19" t="n"/>
    </row>
    <row r="15" ht="54" customHeight="1">
      <c r="A15" s="86" t="inlineStr">
        <is>
          <t>Project-wide budget status</t>
        </is>
      </c>
      <c r="B15" s="24" t="inlineStr">
        <is>
          <t>No all-in amount is calculable: currency, partner rates, most hours, supplier quotes, dossier measurements, recurring periods and go/no-go choices remain unconfirmed. Trust &amp; Influence preparation is the only prefilled effort: conditional 16–24 person-hours (2–3 user-stated working days × assumed 8 hours/day × one preparer), with a 20-hour arithmetic midpoint. Variance remains TBD until an agreed numeric whole-project reference is entered in Inputs!B47 with matching scope, currency and period.</t>
        </is>
      </c>
    </row>
    <row r="16" ht="54" customHeight="1">
      <c r="A16" s="86" t="inlineStr">
        <is>
          <t>Market comparison</t>
        </is>
      </c>
      <c r="B16" s="24" t="inlineStr">
        <is>
          <t>Market_Comparison separates employee wages, contractor day rates and provider-company prices for UK, US and Ukraine. No FX conversion or partner-rate inference. Source_Register records period, method, connectedness and evidence tier/class.</t>
        </is>
      </c>
    </row>
    <row r="17" ht="68" customHeight="1">
      <c r="A17" s="111" t="inlineStr">
        <is>
          <t>Release status / Статус передачі</t>
        </is>
      </c>
      <c r="B17" s="24" t="inlineStr">
        <is>
          <t>PARTNER REVIEW ONLY. This workbook contains internal partner-rate inputs and the conditional demo-module allocation; do not forward it to the client. / ЛИШЕ ДЛЯ РОЗГЛЯДУ ПАРТНЕРАМИ. Книга містить внутрішні ставки партнерів та умовний розподіл за demo-модуль; не надсилати її клієнту.</t>
        </is>
      </c>
    </row>
    <row r="18" ht="68" customHeight="1">
      <c r="A18" s="111" t="inlineStr">
        <is>
          <t>Client proposal output / Клієнтський артефакт</t>
        </is>
      </c>
      <c r="B18" s="24" t="inlineStr">
        <is>
          <t>There is no client-facing proposal page in this workbook. After the configurator decisions and partner approval, prepare the client budget page inside the proposal artifact, not in Excel. / У цій книзі немає сторінки пропозиції для клієнта. Після рішень у конфігураторі та погодження партнерами клієнтську бюджетну сторінку готувати в артефакті пропозиції, не в Excel.</t>
        </is>
      </c>
    </row>
    <row r="19" ht="68" customHeight="1">
      <c r="A19" s="111" t="inlineStr">
        <is>
          <t>Bilingual companion / Двомовний супровід</t>
        </is>
      </c>
      <c r="B19" s="24" t="inlineStr">
        <is>
          <t>ISRM_Partner_Decision_Input_Draft.md is the English/Ukrainian review narrative and scope companion. / ISRM_Partner_Decision_Input_Draft.md — двомовний супровідний документ для розгляду scope і партнерських рішень.</t>
        </is>
      </c>
    </row>
  </sheetData>
  <mergeCells count="13">
    <mergeCell ref="B10:D10"/>
    <mergeCell ref="A1:D1"/>
    <mergeCell ref="B11:D11"/>
    <mergeCell ref="B3:D3"/>
    <mergeCell ref="B5:D5"/>
    <mergeCell ref="B14:D14"/>
    <mergeCell ref="B8:D8"/>
    <mergeCell ref="B4:D4"/>
    <mergeCell ref="B9:D9"/>
    <mergeCell ref="B13:D13"/>
    <mergeCell ref="B12:D12"/>
    <mergeCell ref="B7:D7"/>
    <mergeCell ref="B6:D6"/>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J47"/>
  <sheetViews>
    <sheetView showGridLines="0" tabSelected="0" zoomScale="90" workbookViewId="0">
      <pane ySplit="3" topLeftCell="A4" activePane="bottomLeft" state="frozen"/>
      <selection pane="bottomLeft" activeCell="A1" sqref="A1"/>
    </sheetView>
  </sheetViews>
  <sheetFormatPr baseColWidth="8" defaultRowHeight="15"/>
  <cols>
    <col width="36" customWidth="1" min="1" max="1"/>
    <col width="17" customWidth="1" min="2" max="2"/>
    <col width="32" customWidth="1" min="3" max="3"/>
    <col width="34" customWidth="1" min="4" max="4"/>
    <col width="42" customWidth="1" min="5" max="5"/>
    <col width="78" customWidth="1" min="6" max="6"/>
    <col width="27" customWidth="1" min="8" max="8"/>
    <col width="20" customWidth="1" min="9" max="9"/>
    <col width="20" customWidth="1" min="10" max="10"/>
  </cols>
  <sheetData>
    <row r="1" ht="28" customHeight="1">
      <c r="A1" s="1" t="inlineStr">
        <is>
          <t>Inputs and partner decisions</t>
        </is>
      </c>
    </row>
    <row r="2"/>
    <row r="3" ht="32" customHeight="1">
      <c r="A3" s="4" t="inlineStr">
        <is>
          <t>Input ID</t>
        </is>
      </c>
      <c r="B3" s="4" t="inlineStr">
        <is>
          <t>Value</t>
        </is>
      </c>
      <c r="C3" s="4" t="inlineStr">
        <is>
          <t>Unit / period</t>
        </is>
      </c>
      <c r="D3" s="4" t="inlineStr">
        <is>
          <t>Status</t>
        </is>
      </c>
      <c r="E3" s="4" t="inlineStr">
        <is>
          <t>Origin / locator</t>
        </is>
      </c>
      <c r="F3" s="4" t="inlineStr">
        <is>
          <t>Notes / calculation use</t>
        </is>
      </c>
      <c r="H3" s="5" t="inlineStr">
        <is>
          <t>Cell map for formulas</t>
        </is>
      </c>
    </row>
    <row r="4">
      <c r="A4" s="6" t="inlineStr">
        <is>
          <t>RATE_UA_LOW</t>
        </is>
      </c>
      <c r="B4" s="7" t="n">
        <v>25</v>
      </c>
      <c r="C4" s="6" t="inlineStr">
        <is>
          <t>USD / provider-hour; published band</t>
        </is>
      </c>
      <c r="D4" s="6" t="inlineStr">
        <is>
          <t>Source-reported</t>
        </is>
      </c>
      <c r="E4" s="6" t="inlineStr">
        <is>
          <t>Clutch Software Development Pricing Guide, updated Sep 2026</t>
        </is>
      </c>
      <c r="F4" s="6" t="inlineStr">
        <is>
          <t>Band endpoint, not a national floor or matched quote.</t>
        </is>
      </c>
      <c r="H4" s="8" t="inlineStr">
        <is>
          <t>Actual row addresses (formulas): rates B4:B7; share bands B8:B11; profit ceiling B12; advance B13; max payments B14; operations runway cap B15; currency B16; total budget B17; actual costs B18:B21; approved residual share B22; monthly operations cost B23; SaaS monthly cost B24; selected budget shares B25:B26; payment shares B27:B29; demo-module reuse fee B30. New project-wide rates: Inputs!B33:B39; controls/period inputs: Inputs!B40:B46; see Project_Budget.</t>
        </is>
      </c>
    </row>
    <row r="5">
      <c r="A5" s="6" t="inlineStr">
        <is>
          <t>RATE_UA_HIGH</t>
        </is>
      </c>
      <c r="B5" s="7" t="n">
        <v>49</v>
      </c>
      <c r="C5" s="6" t="inlineStr">
        <is>
          <t>USD / provider-hour; published band</t>
        </is>
      </c>
      <c r="D5" s="6" t="inlineStr">
        <is>
          <t>Source-reported</t>
        </is>
      </c>
      <c r="E5" s="6" t="inlineStr">
        <is>
          <t>Clutch Software Development Pricing Guide, updated Sep 2026</t>
        </is>
      </c>
      <c r="F5" s="6" t="inlineStr">
        <is>
          <t>Band endpoint, not a national ceiling or matched quote.</t>
        </is>
      </c>
    </row>
    <row r="6">
      <c r="A6" s="6" t="inlineStr">
        <is>
          <t>RATE_US_LOW</t>
        </is>
      </c>
      <c r="B6" s="7" t="n">
        <v>50</v>
      </c>
      <c r="C6" s="6" t="inlineStr">
        <is>
          <t>USD / provider-hour; published band</t>
        </is>
      </c>
      <c r="D6" s="6" t="inlineStr">
        <is>
          <t>Source-reported</t>
        </is>
      </c>
      <c r="E6" s="6" t="inlineStr">
        <is>
          <t>Clutch Software Development Pricing Guide, updated Sep 2026</t>
        </is>
      </c>
      <c r="F6" s="6" t="inlineStr">
        <is>
          <t>Band endpoint, not a national floor or matched quote.</t>
        </is>
      </c>
    </row>
    <row r="7">
      <c r="A7" s="6" t="inlineStr">
        <is>
          <t>RATE_US_HIGH</t>
        </is>
      </c>
      <c r="B7" s="7" t="n">
        <v>99</v>
      </c>
      <c r="C7" s="6" t="inlineStr">
        <is>
          <t>USD / provider-hour; published band</t>
        </is>
      </c>
      <c r="D7" s="6" t="inlineStr">
        <is>
          <t>Source-reported</t>
        </is>
      </c>
      <c r="E7" s="6" t="inlineStr">
        <is>
          <t>Clutch Software Development Pricing Guide, updated Sep 2026</t>
        </is>
      </c>
      <c r="F7" s="6" t="inlineStr">
        <is>
          <t>Band endpoint, not a national ceiling or matched quote.</t>
        </is>
      </c>
    </row>
    <row r="8">
      <c r="A8" s="6" t="inlineStr">
        <is>
          <t>DEV_SHARE_MIN</t>
        </is>
      </c>
      <c r="B8" s="9" t="n">
        <v>0.33</v>
      </c>
      <c r="C8" s="6" t="inlineStr">
        <is>
          <t>share of agreed budget</t>
        </is>
      </c>
      <c r="D8" s="6" t="inlineStr">
        <is>
          <t>User-stated target; uncontracted</t>
        </is>
      </c>
      <c r="E8" s="6" t="inlineStr">
        <is>
          <t>Current conversation</t>
        </is>
      </c>
      <c r="F8" s="6" t="inlineStr">
        <is>
          <t>Target band only; actual split remains for partner decision.</t>
        </is>
      </c>
    </row>
    <row r="9">
      <c r="A9" s="6" t="inlineStr">
        <is>
          <t>DEV_SHARE_MAX</t>
        </is>
      </c>
      <c r="B9" s="9" t="n">
        <v>0.5</v>
      </c>
      <c r="C9" s="6" t="inlineStr">
        <is>
          <t>share of agreed budget</t>
        </is>
      </c>
      <c r="D9" s="6" t="inlineStr">
        <is>
          <t>User-stated target; uncontracted</t>
        </is>
      </c>
      <c r="E9" s="6" t="inlineStr">
        <is>
          <t>Current conversation</t>
        </is>
      </c>
      <c r="F9" s="6" t="inlineStr">
        <is>
          <t>Do not combine upper bound with a profit share as if separately additive.</t>
        </is>
      </c>
    </row>
    <row r="10">
      <c r="A10" s="6" t="inlineStr">
        <is>
          <t>OPS_SHARE_MIN</t>
        </is>
      </c>
      <c r="B10" s="9" t="n">
        <v>0.33</v>
      </c>
      <c r="C10" s="6" t="inlineStr">
        <is>
          <t>share of agreed budget</t>
        </is>
      </c>
      <c r="D10" s="6" t="inlineStr">
        <is>
          <t>User-stated target; uncontracted</t>
        </is>
      </c>
      <c r="E10" s="6" t="inlineStr">
        <is>
          <t>Current conversation</t>
        </is>
      </c>
      <c r="F10" s="6" t="inlineStr">
        <is>
          <t>Covers core-team management/administration, relationship work and representation.</t>
        </is>
      </c>
    </row>
    <row r="11">
      <c r="A11" s="6" t="inlineStr">
        <is>
          <t>OPS_SHARE_MAX</t>
        </is>
      </c>
      <c r="B11" s="9" t="n">
        <v>0.5</v>
      </c>
      <c r="C11" s="6" t="inlineStr">
        <is>
          <t>share of agreed budget</t>
        </is>
      </c>
      <c r="D11" s="6" t="inlineStr">
        <is>
          <t>User-stated target; uncontracted</t>
        </is>
      </c>
      <c r="E11" s="6" t="inlineStr">
        <is>
          <t>Current conversation</t>
        </is>
      </c>
      <c r="F11" s="6" t="inlineStr">
        <is>
          <t>Target band only; actual split remains for partner decision.</t>
        </is>
      </c>
    </row>
    <row r="12">
      <c r="A12" s="6" t="inlineStr">
        <is>
          <t>PROFIT_SHARE_MAX</t>
        </is>
      </c>
      <c r="B12" s="9" t="n">
        <v>0.33</v>
      </c>
      <c r="C12" s="6" t="inlineStr">
        <is>
          <t>share of verified positive residual</t>
        </is>
      </c>
      <c r="D12" s="6" t="inlineStr">
        <is>
          <t>Unapproved decision; inactive</t>
        </is>
      </c>
      <c r="E12" s="6" t="inlineStr">
        <is>
          <t>Current conversation; prior partner decision gate</t>
        </is>
      </c>
      <c r="F12" s="6" t="inlineStr">
        <is>
          <t>Discussed ceiling only. No profit distribution or reinvestment rule is adopted.</t>
        </is>
      </c>
    </row>
    <row r="13">
      <c r="A13" s="6" t="inlineStr">
        <is>
          <t>ADVANCE_MIN</t>
        </is>
      </c>
      <c r="B13" s="9" t="n">
        <v>0.3</v>
      </c>
      <c r="C13" s="6" t="inlineStr">
        <is>
          <t>share of agreed contract total</t>
        </is>
      </c>
      <c r="D13" s="6" t="inlineStr">
        <is>
          <t>User-approved minimum; uncontracted</t>
        </is>
      </c>
      <c r="E13" s="6" t="inlineStr">
        <is>
          <t>Current conversation</t>
        </is>
      </c>
      <c r="F13" s="6" t="inlineStr">
        <is>
          <t>Later milestone amounts and trigger criteria remain TBD.</t>
        </is>
      </c>
    </row>
    <row r="14">
      <c r="A14" s="6" t="inlineStr">
        <is>
          <t>MAX_PAYMENTS</t>
        </is>
      </c>
      <c r="B14" s="7" t="n">
        <v>3</v>
      </c>
      <c r="C14" s="6" t="inlineStr">
        <is>
          <t>payments per contract</t>
        </is>
      </c>
      <c r="D14" s="6" t="inlineStr">
        <is>
          <t>User-approved maximum; uncontracted</t>
        </is>
      </c>
      <c r="E14" s="6" t="inlineStr">
        <is>
          <t>Current conversation</t>
        </is>
      </c>
      <c r="F14" s="6" t="inlineStr">
        <is>
          <t>Workbook offers three payment-share slots.</t>
        </is>
      </c>
    </row>
    <row r="15">
      <c r="A15" s="6" t="inlineStr">
        <is>
          <t>OPS_RUNWAY_MAX</t>
        </is>
      </c>
      <c r="B15" s="7" t="n">
        <v>3</v>
      </c>
      <c r="C15" s="6" t="inlineStr">
        <is>
          <t>calendar months after launch</t>
        </is>
      </c>
      <c r="D15" s="6" t="inlineStr">
        <is>
          <t>User-stated cap; unapproved funding</t>
        </is>
      </c>
      <c r="E15" s="6" t="inlineStr">
        <is>
          <t>Current conversation</t>
        </is>
      </c>
      <c r="F15" s="6" t="inlineStr">
        <is>
          <t>Only a possible community-service runway; monthly cost and continuation decision remain unknown.</t>
        </is>
      </c>
    </row>
    <row r="16">
      <c r="A16" s="6" t="inlineStr">
        <is>
          <t>CONTRACT_CURRENCY</t>
        </is>
      </c>
      <c r="B16" s="7" t="inlineStr"/>
      <c r="C16" s="6" t="inlineStr">
        <is>
          <t>currency code</t>
        </is>
      </c>
      <c r="D16" s="6" t="inlineStr">
        <is>
          <t>Decision required</t>
        </is>
      </c>
      <c r="E16" s="6" t="inlineStr">
        <is>
          <t>Partner/client contract</t>
        </is>
      </c>
      <c r="F16" s="6" t="inlineStr">
        <is>
          <t>Client prefers GBP; confirm contract currency with partners/client before entering the budget. No FX conversion is performed.</t>
        </is>
      </c>
    </row>
    <row r="17">
      <c r="A17" s="6" t="inlineStr">
        <is>
          <t>CONTRACT_BUDGET</t>
        </is>
      </c>
      <c r="B17" s="7" t="n"/>
      <c r="C17" s="6" t="inlineStr">
        <is>
          <t>contract currency; one-time</t>
        </is>
      </c>
      <c r="D17" s="6" t="inlineStr">
        <is>
          <t>Decision required</t>
        </is>
      </c>
      <c r="E17" s="6" t="inlineStr">
        <is>
          <t>Final scope and commercial agreement</t>
        </is>
      </c>
      <c r="F17" s="6" t="inlineStr">
        <is>
          <t>Enter only after requirements, scope, and contract currency are approved.</t>
        </is>
      </c>
    </row>
    <row r="18">
      <c r="A18" s="6" t="inlineStr">
        <is>
          <t>DEV_ACTUAL_COST</t>
        </is>
      </c>
      <c r="B18" s="7" t="n"/>
      <c r="C18" s="6" t="inlineStr">
        <is>
          <t>contract currency; one-time</t>
        </is>
      </c>
      <c r="D18" s="6" t="inlineStr">
        <is>
          <t>Decision required</t>
        </is>
      </c>
      <c r="E18" s="6" t="inlineStr">
        <is>
          <t>Developer quotes/contracts</t>
        </is>
      </c>
      <c r="F18" s="6" t="inlineStr">
        <is>
          <t>Verified developer cost, not the rate-sensitivity proxy.</t>
        </is>
      </c>
    </row>
    <row r="19">
      <c r="A19" s="6" t="inlineStr">
        <is>
          <t>CORE_TEAM_ACTUAL_COST</t>
        </is>
      </c>
      <c r="B19" s="7" t="n"/>
      <c r="C19" s="6" t="inlineStr">
        <is>
          <t>contract currency; one-time</t>
        </is>
      </c>
      <c r="D19" s="6" t="inlineStr">
        <is>
          <t>Decision required</t>
        </is>
      </c>
      <c r="E19" s="6" t="inlineStr">
        <is>
          <t>Three partner fee agreement</t>
        </is>
      </c>
      <c r="F19" s="6" t="inlineStr">
        <is>
          <t>Agreed partner delivery fees, excluding DEMO_MODULE_REUSE_FEE (Inputs!B30) to prevent double-counting.</t>
        </is>
      </c>
    </row>
    <row r="20">
      <c r="A20" s="6" t="inlineStr">
        <is>
          <t>REP_ACTUAL_COST</t>
        </is>
      </c>
      <c r="B20" s="7" t="n"/>
      <c r="C20" s="6" t="inlineStr">
        <is>
          <t>contract currency; one-time</t>
        </is>
      </c>
      <c r="D20" s="6" t="inlineStr">
        <is>
          <t>Decision required</t>
        </is>
      </c>
      <c r="E20" s="6" t="inlineStr">
        <is>
          <t>Receipts/approved budget</t>
        </is>
      </c>
      <c r="F20" s="6" t="inlineStr">
        <is>
          <t>Representation and other agreed project outlays.</t>
        </is>
      </c>
    </row>
    <row r="21">
      <c r="A21" s="6" t="inlineStr">
        <is>
          <t>OTHER_ACTUAL_COST</t>
        </is>
      </c>
      <c r="B21" s="7" t="n"/>
      <c r="C21" s="6" t="inlineStr">
        <is>
          <t>contract currency; one-time</t>
        </is>
      </c>
      <c r="D21" s="6" t="inlineStr">
        <is>
          <t>Decision required</t>
        </is>
      </c>
      <c r="E21" s="6" t="inlineStr">
        <is>
          <t>Verified supplier quotes/contracts</t>
        </is>
      </c>
      <c r="F21" s="6" t="inlineStr">
        <is>
          <t>Other direct project costs; enter zero only if verified.</t>
        </is>
      </c>
    </row>
    <row r="22">
      <c r="A22" s="6" t="inlineStr">
        <is>
          <t>APPROVED_RESIDUAL_SHARE</t>
        </is>
      </c>
      <c r="B22" s="7" t="n"/>
      <c r="C22" s="6" t="inlineStr">
        <is>
          <t>share of verified positive residual</t>
        </is>
      </c>
      <c r="D22" s="6" t="inlineStr">
        <is>
          <t>Decision required</t>
        </is>
      </c>
      <c r="E22" s="6" t="inlineStr">
        <is>
          <t>Partner agreement</t>
        </is>
      </c>
      <c r="F22" s="6" t="inlineStr">
        <is>
          <t>Must not exceed the unapproved 33% discussion ceiling unless partners explicitly revise it.</t>
        </is>
      </c>
    </row>
    <row r="23">
      <c r="A23" s="6" t="inlineStr">
        <is>
          <t>OPS_MONTHLY_COST</t>
        </is>
      </c>
      <c r="B23" s="7" t="n"/>
      <c r="C23" s="6" t="inlineStr">
        <is>
          <t>contract currency / month</t>
        </is>
      </c>
      <c r="D23" s="6" t="inlineStr">
        <is>
          <t>Decision required</t>
        </is>
      </c>
      <c r="E23" s="6" t="inlineStr">
        <is>
          <t>Operating plan after pilot</t>
        </is>
      </c>
      <c r="F23" s="6" t="inlineStr">
        <is>
          <t>Used only to calculate an optional runway scenario.</t>
        </is>
      </c>
    </row>
    <row r="24">
      <c r="A24" s="6" t="inlineStr">
        <is>
          <t>SAAS_MONTHLY_COST</t>
        </is>
      </c>
      <c r="B24" s="7" t="n"/>
      <c r="C24" s="6" t="inlineStr">
        <is>
          <t>contract currency / month</t>
        </is>
      </c>
      <c r="D24" s="6" t="inlineStr">
        <is>
          <t>Decision required</t>
        </is>
      </c>
      <c r="E24" s="6" t="inlineStr">
        <is>
          <t>Selected production providers and usage profile</t>
        </is>
      </c>
      <c r="F24" s="6" t="inlineStr">
        <is>
          <t>Not included in fixed-core sensitivity.</t>
        </is>
      </c>
    </row>
    <row r="25">
      <c r="A25" s="6" t="inlineStr">
        <is>
          <t>DEV_SHARE_SELECTED</t>
        </is>
      </c>
      <c r="B25" s="7" t="n"/>
      <c r="C25" s="6" t="inlineStr">
        <is>
          <t>share of agreed budget</t>
        </is>
      </c>
      <c r="D25" s="6" t="inlineStr">
        <is>
          <t>Decision required</t>
        </is>
      </c>
      <c r="E25" s="6" t="inlineStr">
        <is>
          <t>Partner budget decision</t>
        </is>
      </c>
      <c r="F25" s="6" t="inlineStr">
        <is>
          <t>Optional check against the target band.</t>
        </is>
      </c>
    </row>
    <row r="26">
      <c r="A26" s="6" t="inlineStr">
        <is>
          <t>OPS_SHARE_SELECTED</t>
        </is>
      </c>
      <c r="B26" s="7" t="n"/>
      <c r="C26" s="6" t="inlineStr">
        <is>
          <t>share of agreed budget</t>
        </is>
      </c>
      <c r="D26" s="6" t="inlineStr">
        <is>
          <t>Decision required</t>
        </is>
      </c>
      <c r="E26" s="6" t="inlineStr">
        <is>
          <t>Partner budget decision</t>
        </is>
      </c>
      <c r="F26" s="6" t="inlineStr">
        <is>
          <t>Optional check against the target band.</t>
        </is>
      </c>
    </row>
    <row r="27">
      <c r="A27" s="6" t="inlineStr">
        <is>
          <t>PAYMENT_1_SHARE</t>
        </is>
      </c>
      <c r="B27" s="7" t="n"/>
      <c r="C27" s="6" t="inlineStr">
        <is>
          <t>share of agreed contract total</t>
        </is>
      </c>
      <c r="D27" s="6" t="inlineStr">
        <is>
          <t>Decision required</t>
        </is>
      </c>
      <c r="E27" s="6" t="inlineStr">
        <is>
          <t>Final payment schedule</t>
        </is>
      </c>
      <c r="F27" s="6" t="inlineStr">
        <is>
          <t>Payment 1 is the advance; must be at least the user-approved minimum.</t>
        </is>
      </c>
    </row>
    <row r="28">
      <c r="A28" s="6" t="inlineStr">
        <is>
          <t>PAYMENT_2_SHARE</t>
        </is>
      </c>
      <c r="B28" s="7" t="n"/>
      <c r="C28" s="6" t="inlineStr">
        <is>
          <t>share of agreed contract total</t>
        </is>
      </c>
      <c r="D28" s="6" t="inlineStr">
        <is>
          <t>Decision required</t>
        </is>
      </c>
      <c r="E28" s="6" t="inlineStr">
        <is>
          <t>Final payment schedule</t>
        </is>
      </c>
      <c r="F28" s="6" t="inlineStr">
        <is>
          <t>Leave blank if there is no second payment.</t>
        </is>
      </c>
    </row>
    <row r="29">
      <c r="A29" s="6" t="inlineStr">
        <is>
          <t>PAYMENT_3_SHARE</t>
        </is>
      </c>
      <c r="B29" s="7" t="n"/>
      <c r="C29" s="6" t="inlineStr">
        <is>
          <t>share of agreed contract total</t>
        </is>
      </c>
      <c r="D29" s="6" t="inlineStr">
        <is>
          <t>Decision required</t>
        </is>
      </c>
      <c r="E29" s="6" t="inlineStr">
        <is>
          <t>Final payment schedule</t>
        </is>
      </c>
      <c r="F29" s="6" t="inlineStr">
        <is>
          <t>Leave blank if there is no third payment.</t>
        </is>
      </c>
    </row>
    <row r="30" ht="75" customHeight="1">
      <c r="A30" s="6" t="inlineStr">
        <is>
          <t>GRAPH_SEARCH_REUSE_ALLOCATION</t>
        </is>
      </c>
      <c r="B30" s="73" t="n"/>
      <c r="C30" s="6" t="inlineStr">
        <is>
          <t>contract currency; one-time internal allocation</t>
        </is>
      </c>
      <c r="D30" s="6" t="inlineStr">
        <is>
          <t>Partner decision required</t>
        </is>
      </c>
      <c r="E30" s="6" t="inlineStr">
        <is>
          <t>Internal partner allocation for graph/search reuse only if separately agreed. Not a separate client fee; no historical payment or hours inferred.</t>
        </is>
      </c>
      <c r="F30" s="6" t="inlineStr">
        <is>
          <t>Proposed internal compensation for the search + group-formation demo module; amount is TBD and is not inferred from market benchmarks. Pay the author after receipt of the first client payment. Do not duplicate in CORE_TEAM_ACTUAL_COST (B19).</t>
        </is>
      </c>
    </row>
    <row r="31">
      <c r="A31" s="86" t="inlineStr">
        <is>
          <t>Project-wide partner rates and operating-period inputs</t>
        </is>
      </c>
    </row>
    <row r="32">
      <c r="A32" s="4" t="inlineStr">
        <is>
          <t>Input ID</t>
        </is>
      </c>
      <c r="B32" s="4" t="inlineStr">
        <is>
          <t>Value</t>
        </is>
      </c>
      <c r="C32" s="4" t="inlineStr">
        <is>
          <t>Unit / period</t>
        </is>
      </c>
      <c r="D32" s="4" t="inlineStr">
        <is>
          <t>Status</t>
        </is>
      </c>
      <c r="E32" s="4" t="inlineStr">
        <is>
          <t>Origin / locator</t>
        </is>
      </c>
      <c r="F32" s="4" t="inlineStr">
        <is>
          <t>Notes / calculation use</t>
        </is>
      </c>
    </row>
    <row r="33" ht="33" customHeight="1">
      <c r="A33" s="6" t="inlineStr">
        <is>
          <t>RATE_PARTNER_BD</t>
        </is>
      </c>
      <c r="B33" s="87" t="n"/>
      <c r="C33" s="6" t="inlineStr">
        <is>
          <t>contract currency/person-hour</t>
        </is>
      </c>
      <c r="D33" s="6" t="inlineStr">
        <is>
          <t>Partner input required</t>
        </is>
      </c>
      <c r="E33" s="6" t="inlineStr">
        <is>
          <t>Partner agreement</t>
        </is>
      </c>
      <c r="F33" s="6" t="inlineStr">
        <is>
          <t>Partner 1: business development; no salary comparator substituted.</t>
        </is>
      </c>
    </row>
    <row r="34" ht="33" customHeight="1">
      <c r="A34" s="6" t="inlineStr">
        <is>
          <t>RATE_PARTNER_OSINT_COMMS_EVENTS</t>
        </is>
      </c>
      <c r="B34" s="87" t="n"/>
      <c r="C34" s="6" t="inlineStr">
        <is>
          <t>contract currency/person-hour</t>
        </is>
      </c>
      <c r="D34" s="6" t="inlineStr">
        <is>
          <t>Partner input required</t>
        </is>
      </c>
      <c r="E34" s="6" t="inlineStr">
        <is>
          <t>Partner agreement</t>
        </is>
      </c>
      <c r="F34" s="6" t="inlineStr">
        <is>
          <t>Partner 2: OSINT, external communications and event management.</t>
        </is>
      </c>
    </row>
    <row r="35" ht="33" customHeight="1">
      <c r="A35" s="6" t="inlineStr">
        <is>
          <t>RATE_PARTNER_PRODUCT_OWNER</t>
        </is>
      </c>
      <c r="B35" s="87" t="n"/>
      <c r="C35" s="6" t="inlineStr">
        <is>
          <t>contract currency/person-hour</t>
        </is>
      </c>
      <c r="D35" s="6" t="inlineStr">
        <is>
          <t>Partner input required</t>
        </is>
      </c>
      <c r="E35" s="6" t="inlineStr">
        <is>
          <t>Partner agreement</t>
        </is>
      </c>
      <c r="F35" s="6" t="inlineStr">
        <is>
          <t>Partner 3: Product Owner and developer coordination.</t>
        </is>
      </c>
    </row>
    <row r="36" ht="33" customHeight="1">
      <c r="A36" s="6" t="inlineStr">
        <is>
          <t>RATE_SPECIALIST_TRAINER</t>
        </is>
      </c>
      <c r="B36" s="87" t="n"/>
      <c r="C36" s="6" t="inlineStr">
        <is>
          <t>contract currency/person-hour</t>
        </is>
      </c>
      <c r="D36" s="6" t="inlineStr">
        <is>
          <t>Partner input required</t>
        </is>
      </c>
      <c r="E36" s="6" t="inlineStr">
        <is>
          <t>Training scope/partner agreement</t>
        </is>
      </c>
      <c r="F36" s="6" t="inlineStr">
        <is>
          <t>One-time OSINT/data-management training; max one day; actual effort TBD.</t>
        </is>
      </c>
    </row>
    <row r="37" ht="33" customHeight="1">
      <c r="A37" s="6" t="inlineStr">
        <is>
          <t>RATE_ANALYST</t>
        </is>
      </c>
      <c r="B37" s="87" t="n"/>
      <c r="C37" s="6" t="inlineStr">
        <is>
          <t>contract currency/person-hour</t>
        </is>
      </c>
      <c r="D37" s="6" t="inlineStr">
        <is>
          <t>Partner input required</t>
        </is>
      </c>
      <c r="E37" s="6" t="inlineStr">
        <is>
          <t>Analyst agreement</t>
        </is>
      </c>
      <c r="F37" s="6" t="inlineStr">
        <is>
          <t>At least one analyst; hours allocated once across work packages.</t>
        </is>
      </c>
    </row>
    <row r="38" ht="33" customHeight="1">
      <c r="A38" s="6" t="inlineStr">
        <is>
          <t>RATE_EXTERNAL_REVIEWER</t>
        </is>
      </c>
      <c r="B38" s="87" t="n"/>
      <c r="C38" s="6" t="inlineStr">
        <is>
          <t>contract currency/person-hour</t>
        </is>
      </c>
      <c r="D38" s="6" t="inlineStr">
        <is>
          <t>Decision required</t>
        </is>
      </c>
      <c r="E38" s="6" t="inlineStr">
        <is>
          <t>Client/reviewer agreement</t>
        </is>
      </c>
      <c r="F38" s="6" t="inlineStr">
        <is>
          <t>Only if external reviewers are paid; neither payment nor unpaid status assumed.</t>
        </is>
      </c>
    </row>
    <row r="39" ht="33" customHeight="1">
      <c r="A39" s="6" t="inlineStr">
        <is>
          <t>RATE_ASSISTANT_OPTIONAL</t>
        </is>
      </c>
      <c r="B39" s="87" t="n"/>
      <c r="C39" s="6" t="inlineStr">
        <is>
          <t>contract currency/person-hour</t>
        </is>
      </c>
      <c r="D39" s="6" t="inlineStr">
        <is>
          <t>Optional; rate TBD</t>
        </is>
      </c>
      <c r="E39" s="6" t="inlineStr">
        <is>
          <t>Partner agreement</t>
        </is>
      </c>
      <c r="F39" s="6" t="inlineStr">
        <is>
          <t>Optional assistant; excluded unless selected and effort is supplied.</t>
        </is>
      </c>
    </row>
    <row r="40" ht="33" customHeight="1">
      <c r="A40" s="6" t="inlineStr">
        <is>
          <t>WORKDAY_HOURS</t>
        </is>
      </c>
      <c r="B40" s="88" t="n">
        <v>8</v>
      </c>
      <c r="C40" s="6" t="inlineStr">
        <is>
          <t>hours/working day</t>
        </is>
      </c>
      <c r="D40" s="6" t="inlineStr">
        <is>
          <t>[ASSUMPTION] conversion only</t>
        </is>
      </c>
      <c r="E40" s="6" t="inlineStr">
        <is>
          <t>Current user direction</t>
        </is>
      </c>
      <c r="F40" s="6" t="inlineStr">
        <is>
          <t>Only converts stated 2–3 T&amp;I preparation days for one person.</t>
        </is>
      </c>
    </row>
    <row r="41" ht="33" customHeight="1">
      <c r="A41" s="6" t="inlineStr">
        <is>
          <t>ANALYST_MIN_COUNT</t>
        </is>
      </c>
      <c r="B41" s="88" t="n">
        <v>1</v>
      </c>
      <c r="C41" s="6" t="inlineStr">
        <is>
          <t>people</t>
        </is>
      </c>
      <c r="D41" s="6" t="inlineStr">
        <is>
          <t>User-stated requirement</t>
        </is>
      </c>
      <c r="E41" s="6" t="inlineStr">
        <is>
          <t>Current user direction</t>
        </is>
      </c>
      <c r="F41" s="6" t="inlineStr">
        <is>
          <t>Staffing minimum only; not duration or cost.</t>
        </is>
      </c>
    </row>
    <row r="42" ht="33" customHeight="1">
      <c r="A42" s="6" t="inlineStr">
        <is>
          <t>TRAINING_MAX_DAYS</t>
        </is>
      </c>
      <c r="B42" s="88" t="n">
        <v>1</v>
      </c>
      <c r="C42" s="6" t="inlineStr">
        <is>
          <t>working day</t>
        </is>
      </c>
      <c r="D42" s="6" t="inlineStr">
        <is>
          <t>User-stated upper bound</t>
        </is>
      </c>
      <c r="E42" s="6" t="inlineStr">
        <is>
          <t>Current user direction</t>
        </is>
      </c>
      <c r="F42" s="6" t="inlineStr">
        <is>
          <t>Maximum for one-time OSINT/data-management training; not base hours.</t>
        </is>
      </c>
    </row>
    <row r="43" ht="33" customHeight="1">
      <c r="A43" s="6" t="inlineStr">
        <is>
          <t>TRAINING_MAX_HOURS</t>
        </is>
      </c>
      <c r="B43" s="89">
        <f>B40*B42</f>
        <v/>
      </c>
      <c r="C43" s="6" t="inlineStr">
        <is>
          <t>hours; conditional cap</t>
        </is>
      </c>
      <c r="D43" s="6" t="inlineStr">
        <is>
          <t>Formula from assumption/cap</t>
        </is>
      </c>
      <c r="E43" s="6" t="inlineStr">
        <is>
          <t>Inputs!B40 × Inputs!B42</t>
        </is>
      </c>
      <c r="F43" s="6" t="inlineStr">
        <is>
          <t>Upper bound only; not included as base training hours.</t>
        </is>
      </c>
    </row>
    <row r="44" ht="33" customHeight="1">
      <c r="A44" s="6" t="inlineStr">
        <is>
          <t>ASSISTANT_INCLUDED</t>
        </is>
      </c>
      <c r="B44" s="87" t="n"/>
      <c r="C44" s="6" t="inlineStr">
        <is>
          <t>Yes/No</t>
        </is>
      </c>
      <c r="D44" s="6" t="inlineStr">
        <is>
          <t>Optional decision</t>
        </is>
      </c>
      <c r="E44" s="6" t="inlineStr">
        <is>
          <t>Partner scope decision</t>
        </is>
      </c>
      <c r="F44" s="6" t="inlineStr">
        <is>
          <t>Select Yes only after scope approval; effort and rate remain separate.</t>
        </is>
      </c>
    </row>
    <row r="45" ht="33" customHeight="1">
      <c r="A45" s="6" t="inlineStr">
        <is>
          <t>OPS_MONTHS_INCLUDED</t>
        </is>
      </c>
      <c r="B45" s="87" t="n"/>
      <c r="C45" s="6" t="inlineStr">
        <is>
          <t>months</t>
        </is>
      </c>
      <c r="D45" s="6" t="inlineStr">
        <is>
          <t>Decision required</t>
        </is>
      </c>
      <c r="E45" s="6" t="inlineStr">
        <is>
          <t>Approved support period</t>
        </is>
      </c>
      <c r="F45" s="6" t="inlineStr">
        <is>
          <t>No default; do not reuse unapproved runway cap.</t>
        </is>
      </c>
    </row>
    <row r="46" ht="33" customHeight="1">
      <c r="A46" s="6" t="inlineStr">
        <is>
          <t>SAAS_MONTHS_INCLUDED</t>
        </is>
      </c>
      <c r="B46" s="87" t="n"/>
      <c r="C46" s="6" t="inlineStr">
        <is>
          <t>months</t>
        </is>
      </c>
      <c r="D46" s="6" t="inlineStr">
        <is>
          <t>Decision required</t>
        </is>
      </c>
      <c r="E46" s="6" t="inlineStr">
        <is>
          <t>Approved SaaS period</t>
        </is>
      </c>
      <c r="F46" s="6" t="inlineStr">
        <is>
          <t>No default; used with monthly cost in Inputs!B24.</t>
        </is>
      </c>
    </row>
    <row r="47">
      <c r="A47" s="6" t="inlineStr">
        <is>
          <t>AGREED_PROJECT_REFERENCE</t>
        </is>
      </c>
      <c r="B47" s="87" t="n"/>
      <c r="C47" s="6" t="inlineStr">
        <is>
          <t>contract currency; whole-project total for stated scope and period</t>
        </is>
      </c>
      <c r="D47" s="6" t="inlineStr">
        <is>
          <t>Partner/client agreement required</t>
        </is>
      </c>
      <c r="E47" s="6" t="inlineStr">
        <is>
          <t>Documented agreement / decision record</t>
        </is>
      </c>
      <c r="F47" s="6" t="inlineStr">
        <is>
          <t>Required for budget-variance percentages. Leave blank until a numeric whole-project reference is expressly agreed; scope, currency and period must match Project_Budget.</t>
        </is>
      </c>
    </row>
  </sheetData>
  <autoFilter ref="A3:F29"/>
  <mergeCells count="2">
    <mergeCell ref="H4:J8"/>
    <mergeCell ref="A1:F1"/>
  </mergeCells>
  <dataValidations count="2">
    <dataValidation sqref="B27:B29" showDropDown="0" showInputMessage="1" showErrorMessage="1" allowBlank="1" errorTitle="Invalid payment share" error="Enter a share from 0% through 100%." promptTitle="Payment share" prompt="Payment shares must be between 0% and 100%; the complete schedule must total 100%." type="decimal" operator="between">
      <formula1>0</formula1>
      <formula2>1</formula2>
    </dataValidation>
    <dataValidation sqref="B44" showDropDown="0" showInputMessage="0" showErrorMessage="0" allowBlank="1"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60"/>
  <sheetViews>
    <sheetView showGridLines="0" workbookViewId="0">
      <pane ySplit="6" topLeftCell="A7" activePane="bottomLeft" state="frozen"/>
      <selection pane="bottomLeft" activeCell="A1" sqref="A1"/>
    </sheetView>
  </sheetViews>
  <sheetFormatPr baseColWidth="8" defaultRowHeight="15"/>
  <cols>
    <col width="13" customWidth="1" min="1" max="1"/>
    <col width="18" customWidth="1" min="2" max="2"/>
    <col width="42" customWidth="1" min="3" max="3"/>
    <col width="36" customWidth="1" min="4" max="4"/>
    <col width="30" customWidth="1" min="5" max="5"/>
    <col width="13" customWidth="1" min="6" max="6"/>
    <col width="13" customWidth="1" min="7" max="7"/>
    <col width="13" customWidth="1" min="8" max="8"/>
    <col width="26" customWidth="1" min="9" max="9"/>
    <col width="19" customWidth="1" min="10" max="10"/>
    <col width="16" customWidth="1" min="11" max="11"/>
    <col width="16" customWidth="1" min="12" max="12"/>
    <col width="16" customWidth="1" min="13" max="13"/>
    <col width="25" customWidth="1" min="14" max="14"/>
    <col width="64" customWidth="1" min="15" max="15"/>
    <col width="48" customWidth="1" min="16" max="16"/>
    <col width="36" customWidth="1" min="17" max="17"/>
    <col width="52" customWidth="1" min="18" max="18"/>
  </cols>
  <sheetData>
    <row r="1" ht="28" customHeight="1">
      <c r="A1" s="90" t="inlineStr">
        <is>
          <t>ISRM Expert Network — Project-wide budget and scope gates / ISRM Expert Network — Загальний бюджет і контрольні рішення</t>
        </is>
      </c>
    </row>
    <row r="2" ht="29" customHeight="1">
      <c r="A2" s="91" t="inlineStr">
        <is>
          <t>Partner review working model only; not a quotation, approved price or delivery commitment. / Робоча модель лише для розгляду партнерами; не котировка, не затверджена ціна й не зобов’язання виконати роботи.</t>
        </is>
      </c>
    </row>
    <row r="3" ht="29" customHeight="1">
      <c r="A3" s="91" t="inlineStr">
        <is>
          <t>Scope covers Tracks 1–5 and Gate 4A. Historical Budget_Model and Work_Packages remain historical only. / Обсяг охоплює треки 1–5 і ворота 4A. Історичні Budget_Model і Work_Packages не є актуальною оцінкою.</t>
        </is>
      </c>
    </row>
    <row r="4" ht="29" customHeight="1">
      <c r="A4" s="92" t="inlineStr">
        <is>
          <t>Blank inputs mean unknown, never zero. Totals remain TBD until currency, hours/rates, supplier quotes and scope decisions are resolved. / Порожні входи означають «невідомо», а не нуль. Підсумки залишаються TBD до погодження валюти, годин/ставок, котирувань і рішень щодо обсягу.</t>
        </is>
      </c>
    </row>
    <row r="5" ht="29" customHeight="1">
      <c r="A5" s="93" t="inlineStr">
        <is>
          <t>Blue = user input; green = formula/link; yellow = assumption; orange = unresolved gate; gray = excluded/reference. Taxes excluded. / Синій = ввід користувача; зелений = формула/посилання; жовтий = припущення; помаранчевий = невирішені ворота; сірий = виключено/довідка. Податки не враховано.</t>
        </is>
      </c>
    </row>
    <row r="6" ht="42" customHeight="1">
      <c r="A6" s="28" t="inlineStr">
        <is>
          <t>ID / Код</t>
        </is>
      </c>
      <c r="B6" s="28" t="inlineStr">
        <is>
          <t>Track/gate / Трек/ворота</t>
        </is>
      </c>
      <c r="C6" s="28" t="inlineStr">
        <is>
          <t>Deliverable/cost line / Результат / стаття витрат</t>
        </is>
      </c>
      <c r="D6" s="28" t="inlineStr">
        <is>
          <t>Responsible function/source / Відповідальна функція / джерело</t>
        </is>
      </c>
      <c r="E6" s="28" t="inlineStr">
        <is>
          <t>Cost basis / База розрахунку</t>
        </is>
      </c>
      <c r="F6" s="28" t="inlineStr">
        <is>
          <t>Lower-bound effort input / Ввід: нижня межа</t>
        </is>
      </c>
      <c r="G6" s="28" t="inlineStr">
        <is>
          <t>Reference effort input / Ввід: орієнтир</t>
        </is>
      </c>
      <c r="H6" s="28" t="inlineStr">
        <is>
          <t>Upper-bound effort input / Ввід: верхня межа</t>
        </is>
      </c>
      <c r="I6" s="28" t="inlineStr">
        <is>
          <t>Input unit / Одиниця входу</t>
        </is>
      </c>
      <c r="J6" s="28" t="inlineStr">
        <is>
          <t>Rate/quote per unit / Ставка/котирування за одиницю</t>
        </is>
      </c>
      <c r="K6" s="28" t="inlineStr">
        <is>
          <t>Lower-bound cost / Вартість: нижня межа</t>
        </is>
      </c>
      <c r="L6" s="28" t="inlineStr">
        <is>
          <t>Reference cost / Вартість: орієнтир</t>
        </is>
      </c>
      <c r="M6" s="28" t="inlineStr">
        <is>
          <t>Upper-bound cost / Вартість: верхня межа</t>
        </is>
      </c>
      <c r="N6" s="28" t="inlineStr">
        <is>
          <t>Budget treatment / Облік у бюджеті</t>
        </is>
      </c>
      <c r="O6" s="28" t="inlineStr">
        <is>
          <t>Evidence/formula/open condition / Джерело, формула або відкрита умова</t>
        </is>
      </c>
      <c r="P6" s="28" t="inlineStr">
        <is>
          <t>KPI/acceptance measure / KPI або критерій приймання</t>
        </is>
      </c>
      <c r="Q6" s="28" t="inlineStr">
        <is>
          <t>KPI target/status / Ціль KPI / статус</t>
        </is>
      </c>
      <c r="R6" s="28" t="inlineStr">
        <is>
          <t>Deliverable/cost line (UA) / Результат / стаття витрат (укр.)</t>
        </is>
      </c>
    </row>
    <row r="7" ht="48" customHeight="1">
      <c r="A7" s="94" t="inlineStr">
        <is>
          <t>TI-01</t>
        </is>
      </c>
      <c r="B7" s="94" t="inlineStr">
        <is>
          <t>Track 1</t>
        </is>
      </c>
      <c r="C7" s="94" t="inlineStr">
        <is>
          <t>Prepare Trust &amp; Influence strategic session</t>
        </is>
      </c>
      <c r="D7" s="94">
        <f>IF('Partner_Effort'!C6="","",'Partner_Effort'!C6)</f>
        <v/>
      </c>
      <c r="E7" s="94" t="inlineStr">
        <is>
          <t>Partner hours × rate</t>
        </is>
      </c>
      <c r="F7" s="107">
        <f>IF('Partner_Effort'!D6="","",'Partner_Effort'!D6)</f>
        <v/>
      </c>
      <c r="G7" s="107">
        <f>IF('Partner_Effort'!E6="","",'Partner_Effort'!E6)</f>
        <v/>
      </c>
      <c r="H7" s="107">
        <f>IF('Partner_Effort'!F6="","",'Partner_Effort'!F6)</f>
        <v/>
      </c>
      <c r="I7" s="94" t="inlineStr">
        <is>
          <t>person-hours</t>
        </is>
      </c>
      <c r="J7" s="96" t="n"/>
      <c r="K7" s="108">
        <f>IF(OR(Inputs!$B$16="",F7="",J7=""),"TBD",F7*J7)</f>
        <v/>
      </c>
      <c r="L7" s="108">
        <f>IF(OR(Inputs!$B$16="",G7="",J7=""),"TBD",G7*J7)</f>
        <v/>
      </c>
      <c r="M7" s="108">
        <f>IF(OR(Inputs!$B$16="",H7="",J7=""),"TBD",H7*J7)</f>
        <v/>
      </c>
      <c r="N7" s="94" t="inlineStr">
        <is>
          <t>Mandatory</t>
        </is>
      </c>
      <c r="O7" s="94">
        <f>'Partner_Effort'!H6</f>
        <v/>
      </c>
      <c r="P7" s="94" t="inlineStr">
        <is>
          <t>Session brief, agenda, evidence questions and pre-read reviewed.</t>
        </is>
      </c>
      <c r="Q7" s="94" t="inlineStr">
        <is>
          <t>Client/board acceptance; numeric target TBD.</t>
        </is>
      </c>
      <c r="R7" s="94" t="inlineStr">
        <is>
          <t>Підготувати стратегічну сесію Trust &amp; Influence</t>
        </is>
      </c>
    </row>
    <row r="8" ht="48" customHeight="1">
      <c r="A8" s="94" t="inlineStr">
        <is>
          <t>TI-02</t>
        </is>
      </c>
      <c r="B8" s="94" t="inlineStr">
        <is>
          <t>Track 1</t>
        </is>
      </c>
      <c r="C8" s="94" t="inlineStr">
        <is>
          <t>Facilitate Trust &amp; Influence strategic session</t>
        </is>
      </c>
      <c r="D8" s="94">
        <f>IF('Partner_Effort'!C7="","",'Partner_Effort'!C7)</f>
        <v/>
      </c>
      <c r="E8" s="94" t="inlineStr">
        <is>
          <t>Partner hours × rate</t>
        </is>
      </c>
      <c r="F8" s="107">
        <f>IF('Partner_Effort'!D7="","",'Partner_Effort'!D7)</f>
        <v/>
      </c>
      <c r="G8" s="107">
        <f>IF('Partner_Effort'!E7="","",'Partner_Effort'!E7)</f>
        <v/>
      </c>
      <c r="H8" s="107">
        <f>IF('Partner_Effort'!F7="","",'Partner_Effort'!F7)</f>
        <v/>
      </c>
      <c r="I8" s="94" t="inlineStr">
        <is>
          <t>person-hours</t>
        </is>
      </c>
      <c r="J8" s="96" t="n"/>
      <c r="K8" s="108">
        <f>IF(OR(Inputs!$B$16="",F8="",J8=""),"TBD",F8*J8)</f>
        <v/>
      </c>
      <c r="L8" s="108">
        <f>IF(OR(Inputs!$B$16="",G8="",J8=""),"TBD",G8*J8)</f>
        <v/>
      </c>
      <c r="M8" s="108">
        <f>IF(OR(Inputs!$B$16="",H8="",J8=""),"TBD",H8*J8)</f>
        <v/>
      </c>
      <c r="N8" s="94" t="inlineStr">
        <is>
          <t>Mandatory</t>
        </is>
      </c>
      <c r="O8" s="94">
        <f>'Partner_Effort'!H7</f>
        <v/>
      </c>
      <c r="P8" s="94" t="inlineStr">
        <is>
          <t>Decisions and design principles approved.</t>
        </is>
      </c>
      <c r="Q8" s="94" t="inlineStr">
        <is>
          <t>Client/board acceptance; numeric target TBD.</t>
        </is>
      </c>
      <c r="R8" s="94" t="inlineStr">
        <is>
          <t>Провести стратегічну сесію Trust &amp; Influence</t>
        </is>
      </c>
    </row>
    <row r="9" ht="48" customHeight="1">
      <c r="A9" s="94" t="inlineStr">
        <is>
          <t>TI-03</t>
        </is>
      </c>
      <c r="B9" s="94" t="inlineStr">
        <is>
          <t>Track 1</t>
        </is>
      </c>
      <c r="C9" s="94" t="inlineStr">
        <is>
          <t>Synthesize and document session decisions</t>
        </is>
      </c>
      <c r="D9" s="94">
        <f>IF('Partner_Effort'!C8="","",'Partner_Effort'!C8)</f>
        <v/>
      </c>
      <c r="E9" s="94" t="inlineStr">
        <is>
          <t>Partner hours × rate</t>
        </is>
      </c>
      <c r="F9" s="107">
        <f>IF('Partner_Effort'!D8="","",'Partner_Effort'!D8)</f>
        <v/>
      </c>
      <c r="G9" s="107">
        <f>IF('Partner_Effort'!E8="","",'Partner_Effort'!E8)</f>
        <v/>
      </c>
      <c r="H9" s="107">
        <f>IF('Partner_Effort'!F8="","",'Partner_Effort'!F8)</f>
        <v/>
      </c>
      <c r="I9" s="94" t="inlineStr">
        <is>
          <t>person-hours</t>
        </is>
      </c>
      <c r="J9" s="96" t="n"/>
      <c r="K9" s="108">
        <f>IF(OR(Inputs!$B$16="",F9="",J9=""),"TBD",F9*J9)</f>
        <v/>
      </c>
      <c r="L9" s="108">
        <f>IF(OR(Inputs!$B$16="",G9="",J9=""),"TBD",G9*J9)</f>
        <v/>
      </c>
      <c r="M9" s="108">
        <f>IF(OR(Inputs!$B$16="",H9="",J9=""),"TBD",H9*J9)</f>
        <v/>
      </c>
      <c r="N9" s="94" t="inlineStr">
        <is>
          <t>Mandatory</t>
        </is>
      </c>
      <c r="O9" s="94">
        <f>'Partner_Effort'!H8</f>
        <v/>
      </c>
      <c r="P9" s="94" t="inlineStr">
        <is>
          <t>Decision log and owners reviewed.</t>
        </is>
      </c>
      <c r="Q9" s="94" t="inlineStr">
        <is>
          <t>Client/board acceptance; numeric target TBD.</t>
        </is>
      </c>
      <c r="R9" s="94" t="inlineStr">
        <is>
          <t>Узагальнити й задокументувати рішення сесії</t>
        </is>
      </c>
    </row>
    <row r="10" ht="48" customHeight="1">
      <c r="A10" s="94" t="inlineStr">
        <is>
          <t>TI-04</t>
        </is>
      </c>
      <c r="B10" s="94" t="inlineStr">
        <is>
          <t>Track 1</t>
        </is>
      </c>
      <c r="C10" s="94" t="inlineStr">
        <is>
          <t>Co-design Trust &amp; Influence index/model</t>
        </is>
      </c>
      <c r="D10" s="94">
        <f>IF('Partner_Effort'!C9="","",'Partner_Effort'!C9)</f>
        <v/>
      </c>
      <c r="E10" s="94" t="inlineStr">
        <is>
          <t>Partner hours × rate</t>
        </is>
      </c>
      <c r="F10" s="107">
        <f>IF('Partner_Effort'!D9="","",'Partner_Effort'!D9)</f>
        <v/>
      </c>
      <c r="G10" s="107">
        <f>IF('Partner_Effort'!E9="","",'Partner_Effort'!E9)</f>
        <v/>
      </c>
      <c r="H10" s="107">
        <f>IF('Partner_Effort'!F9="","",'Partner_Effort'!F9)</f>
        <v/>
      </c>
      <c r="I10" s="94" t="inlineStr">
        <is>
          <t>person-hours</t>
        </is>
      </c>
      <c r="J10" s="96" t="n"/>
      <c r="K10" s="108">
        <f>IF(OR(Inputs!$B$16="",F10="",J10=""),"TBD",F10*J10)</f>
        <v/>
      </c>
      <c r="L10" s="108">
        <f>IF(OR(Inputs!$B$16="",G10="",J10=""),"TBD",G10*J10)</f>
        <v/>
      </c>
      <c r="M10" s="108">
        <f>IF(OR(Inputs!$B$16="",H10="",J10=""),"TBD",H10*J10)</f>
        <v/>
      </c>
      <c r="N10" s="94" t="inlineStr">
        <is>
          <t>Mandatory</t>
        </is>
      </c>
      <c r="O10" s="94">
        <f>'Partner_Effort'!H9</f>
        <v/>
      </c>
      <c r="P10" s="94" t="inlineStr">
        <is>
          <t>Versioned model and limits approved.</t>
        </is>
      </c>
      <c r="Q10" s="94" t="inlineStr">
        <is>
          <t>Client/board acceptance; numeric target TBD.</t>
        </is>
      </c>
      <c r="R10" s="94" t="inlineStr">
        <is>
          <t>Спільно розробити індекс / модель Trust &amp; Influence</t>
        </is>
      </c>
    </row>
    <row r="11" ht="48" customHeight="1">
      <c r="A11" s="94" t="inlineStr">
        <is>
          <t>TI-05</t>
        </is>
      </c>
      <c r="B11" s="94" t="inlineStr">
        <is>
          <t>Track 1</t>
        </is>
      </c>
      <c r="C11" s="94" t="inlineStr">
        <is>
          <t>Draft assessment protocol and correction/appeal path</t>
        </is>
      </c>
      <c r="D11" s="94">
        <f>IF('Partner_Effort'!C10="","",'Partner_Effort'!C10)</f>
        <v/>
      </c>
      <c r="E11" s="94" t="inlineStr">
        <is>
          <t>Partner hours × rate</t>
        </is>
      </c>
      <c r="F11" s="107">
        <f>IF('Partner_Effort'!D10="","",'Partner_Effort'!D10)</f>
        <v/>
      </c>
      <c r="G11" s="107">
        <f>IF('Partner_Effort'!E10="","",'Partner_Effort'!E10)</f>
        <v/>
      </c>
      <c r="H11" s="107">
        <f>IF('Partner_Effort'!F10="","",'Partner_Effort'!F10)</f>
        <v/>
      </c>
      <c r="I11" s="94" t="inlineStr">
        <is>
          <t>person-hours</t>
        </is>
      </c>
      <c r="J11" s="96" t="n"/>
      <c r="K11" s="108">
        <f>IF(OR(Inputs!$B$16="",F11="",J11=""),"TBD",F11*J11)</f>
        <v/>
      </c>
      <c r="L11" s="108">
        <f>IF(OR(Inputs!$B$16="",G11="",J11=""),"TBD",G11*J11)</f>
        <v/>
      </c>
      <c r="M11" s="108">
        <f>IF(OR(Inputs!$B$16="",H11="",J11=""),"TBD",H11*J11)</f>
        <v/>
      </c>
      <c r="N11" s="94" t="inlineStr">
        <is>
          <t>Mandatory</t>
        </is>
      </c>
      <c r="O11" s="94">
        <f>'Partner_Effort'!H10</f>
        <v/>
      </c>
      <c r="P11" s="94" t="inlineStr">
        <is>
          <t>Repeatable protocol and audit/correction rules approved.</t>
        </is>
      </c>
      <c r="Q11" s="94" t="inlineStr">
        <is>
          <t>Client/board acceptance; numeric target TBD.</t>
        </is>
      </c>
      <c r="R11" s="94" t="inlineStr">
        <is>
          <t>Підготувати протокол оцінювання та порядок виправлення / оскарження</t>
        </is>
      </c>
    </row>
    <row r="12" ht="48" customHeight="1">
      <c r="A12" s="94" t="inlineStr">
        <is>
          <t>TI-06</t>
        </is>
      </c>
      <c r="B12" s="94" t="inlineStr">
        <is>
          <t>Track 1</t>
        </is>
      </c>
      <c r="C12" s="94" t="inlineStr">
        <is>
          <t>Select practice leaders and regional representatives</t>
        </is>
      </c>
      <c r="D12" s="94">
        <f>IF('Partner_Effort'!C11="","",'Partner_Effort'!C11)</f>
        <v/>
      </c>
      <c r="E12" s="94" t="inlineStr">
        <is>
          <t>Partner hours × rate</t>
        </is>
      </c>
      <c r="F12" s="107">
        <f>IF('Partner_Effort'!D11="","",'Partner_Effort'!D11)</f>
        <v/>
      </c>
      <c r="G12" s="107">
        <f>IF('Partner_Effort'!E11="","",'Partner_Effort'!E11)</f>
        <v/>
      </c>
      <c r="H12" s="107">
        <f>IF('Partner_Effort'!F11="","",'Partner_Effort'!F11)</f>
        <v/>
      </c>
      <c r="I12" s="94" t="inlineStr">
        <is>
          <t>person-hours</t>
        </is>
      </c>
      <c r="J12" s="96" t="n"/>
      <c r="K12" s="108">
        <f>IF(OR(Inputs!$B$16="",F12="",J12=""),"TBD",F12*J12)</f>
        <v/>
      </c>
      <c r="L12" s="108">
        <f>IF(OR(Inputs!$B$16="",G12="",J12=""),"TBD",G12*J12)</f>
        <v/>
      </c>
      <c r="M12" s="108">
        <f>IF(OR(Inputs!$B$16="",H12="",J12=""),"TBD",H12*J12)</f>
        <v/>
      </c>
      <c r="N12" s="94" t="inlineStr">
        <is>
          <t>Mandatory</t>
        </is>
      </c>
      <c r="O12" s="94">
        <f>'Partner_Effort'!H11</f>
        <v/>
      </c>
      <c r="P12" s="94" t="inlineStr">
        <is>
          <t>Approved reviewer roster.</t>
        </is>
      </c>
      <c r="Q12" s="94" t="inlineStr">
        <is>
          <t>Client/board acceptance; numeric target TBD.</t>
        </is>
      </c>
      <c r="R12" s="94" t="inlineStr">
        <is>
          <t>Відібрати керівників практик і регіональних представників</t>
        </is>
      </c>
    </row>
    <row r="13" ht="48" customHeight="1">
      <c r="A13" s="94" t="inlineStr">
        <is>
          <t>TI-07</t>
        </is>
      </c>
      <c r="B13" s="94" t="inlineStr">
        <is>
          <t>Track 1</t>
        </is>
      </c>
      <c r="C13" s="94" t="inlineStr">
        <is>
          <t>Prepare reviewer-group orientation/materials</t>
        </is>
      </c>
      <c r="D13" s="94">
        <f>IF('Partner_Effort'!C12="","",'Partner_Effort'!C12)</f>
        <v/>
      </c>
      <c r="E13" s="94" t="inlineStr">
        <is>
          <t>Partner hours × rate</t>
        </is>
      </c>
      <c r="F13" s="107">
        <f>IF('Partner_Effort'!D12="","",'Partner_Effort'!D12)</f>
        <v/>
      </c>
      <c r="G13" s="107">
        <f>IF('Partner_Effort'!E12="","",'Partner_Effort'!E12)</f>
        <v/>
      </c>
      <c r="H13" s="107">
        <f>IF('Partner_Effort'!F12="","",'Partner_Effort'!F12)</f>
        <v/>
      </c>
      <c r="I13" s="94" t="inlineStr">
        <is>
          <t>person-hours</t>
        </is>
      </c>
      <c r="J13" s="96" t="n"/>
      <c r="K13" s="108">
        <f>IF(OR(Inputs!$B$16="",F13="",J13=""),"TBD",F13*J13)</f>
        <v/>
      </c>
      <c r="L13" s="108">
        <f>IF(OR(Inputs!$B$16="",G13="",J13=""),"TBD",G13*J13)</f>
        <v/>
      </c>
      <c r="M13" s="108">
        <f>IF(OR(Inputs!$B$16="",H13="",J13=""),"TBD",H13*J13)</f>
        <v/>
      </c>
      <c r="N13" s="94" t="inlineStr">
        <is>
          <t>Mandatory</t>
        </is>
      </c>
      <c r="O13" s="94">
        <f>'Partner_Effort'!H12</f>
        <v/>
      </c>
      <c r="P13" s="94" t="inlineStr">
        <is>
          <t>Materials map to approved model/protocol.</t>
        </is>
      </c>
      <c r="Q13" s="94" t="inlineStr">
        <is>
          <t>Client/board acceptance; numeric target TBD.</t>
        </is>
      </c>
      <c r="R13" s="94" t="inlineStr">
        <is>
          <t>Підготувати матеріали для орієнтації групи рецензентів</t>
        </is>
      </c>
    </row>
    <row r="14" ht="48" customHeight="1">
      <c r="A14" s="94" t="inlineStr">
        <is>
          <t>TI-08</t>
        </is>
      </c>
      <c r="B14" s="94" t="inlineStr">
        <is>
          <t>Track 1</t>
        </is>
      </c>
      <c r="C14" s="94" t="inlineStr">
        <is>
          <t>Deliver reviewer-group orientation/training</t>
        </is>
      </c>
      <c r="D14" s="94">
        <f>IF('Partner_Effort'!C13="","",'Partner_Effort'!C13)</f>
        <v/>
      </c>
      <c r="E14" s="94" t="inlineStr">
        <is>
          <t>Partner hours × rate</t>
        </is>
      </c>
      <c r="F14" s="107">
        <f>IF('Partner_Effort'!D13="","",'Partner_Effort'!D13)</f>
        <v/>
      </c>
      <c r="G14" s="107">
        <f>IF('Partner_Effort'!E13="","",'Partner_Effort'!E13)</f>
        <v/>
      </c>
      <c r="H14" s="107">
        <f>IF('Partner_Effort'!F13="","",'Partner_Effort'!F13)</f>
        <v/>
      </c>
      <c r="I14" s="94" t="inlineStr">
        <is>
          <t>person-hours</t>
        </is>
      </c>
      <c r="J14" s="96" t="n"/>
      <c r="K14" s="108">
        <f>IF(OR(Inputs!$B$16="",F14="",J14=""),"TBD",F14*J14)</f>
        <v/>
      </c>
      <c r="L14" s="108">
        <f>IF(OR(Inputs!$B$16="",G14="",J14=""),"TBD",G14*J14)</f>
        <v/>
      </c>
      <c r="M14" s="108">
        <f>IF(OR(Inputs!$B$16="",H14="",J14=""),"TBD",H14*J14)</f>
        <v/>
      </c>
      <c r="N14" s="94" t="inlineStr">
        <is>
          <t>Mandatory</t>
        </is>
      </c>
      <c r="O14" s="94">
        <f>'Partner_Effort'!H13</f>
        <v/>
      </c>
      <c r="P14" s="94" t="inlineStr">
        <is>
          <t>Attendance recorded; not proof of sector-wide validity.</t>
        </is>
      </c>
      <c r="Q14" s="94" t="inlineStr">
        <is>
          <t>Client/board acceptance; numeric target TBD.</t>
        </is>
      </c>
      <c r="R14" s="94" t="inlineStr">
        <is>
          <t>Провести орієнтацію / навчання групи рецензентів</t>
        </is>
      </c>
    </row>
    <row r="15" ht="48" customHeight="1">
      <c r="A15" s="94" t="inlineStr">
        <is>
          <t>TI-09</t>
        </is>
      </c>
      <c r="B15" s="94" t="inlineStr">
        <is>
          <t>Track 3</t>
        </is>
      </c>
      <c r="C15" s="94" t="inlineStr">
        <is>
          <t>Apply model/protocol to expert reviews and adjudicate exceptions</t>
        </is>
      </c>
      <c r="D15" s="94">
        <f>IF('Partner_Effort'!C14="","",'Partner_Effort'!C14)</f>
        <v/>
      </c>
      <c r="E15" s="94" t="inlineStr">
        <is>
          <t>Partner hours × rate</t>
        </is>
      </c>
      <c r="F15" s="107">
        <f>IF('Partner_Effort'!D14="","",'Partner_Effort'!D14)</f>
        <v/>
      </c>
      <c r="G15" s="107">
        <f>IF('Partner_Effort'!E14="","",'Partner_Effort'!E14)</f>
        <v/>
      </c>
      <c r="H15" s="107">
        <f>IF('Partner_Effort'!F14="","",'Partner_Effort'!F14)</f>
        <v/>
      </c>
      <c r="I15" s="94" t="inlineStr">
        <is>
          <t>person-hours</t>
        </is>
      </c>
      <c r="J15" s="96" t="n"/>
      <c r="K15" s="108">
        <f>IF(OR(Inputs!$B$16="",F15="",J15=""),"TBD",F15*J15)</f>
        <v/>
      </c>
      <c r="L15" s="108">
        <f>IF(OR(Inputs!$B$16="",G15="",J15=""),"TBD",G15*J15)</f>
        <v/>
      </c>
      <c r="M15" s="108">
        <f>IF(OR(Inputs!$B$16="",H15="",J15=""),"TBD",H15*J15)</f>
        <v/>
      </c>
      <c r="N15" s="94" t="inlineStr">
        <is>
          <t>Mandatory</t>
        </is>
      </c>
      <c r="O15" s="94">
        <f>'Partner_Effort'!H14</f>
        <v/>
      </c>
      <c r="P15" s="94" t="inlineStr">
        <is>
          <t>Human review and exceptions logged.</t>
        </is>
      </c>
      <c r="Q15" s="94" t="inlineStr">
        <is>
          <t>Client/board acceptance; numeric target TBD.</t>
        </is>
      </c>
      <c r="R15" s="94" t="inlineStr">
        <is>
          <t>Застосувати модель / протокол до перевірок експертів і розглянути винятки</t>
        </is>
      </c>
    </row>
    <row r="16" ht="48" customHeight="1">
      <c r="A16" s="94" t="inlineStr">
        <is>
          <t>STR-01</t>
        </is>
      </c>
      <c r="B16" s="94" t="inlineStr">
        <is>
          <t>Track 1</t>
        </is>
      </c>
      <c r="C16" s="94" t="inlineStr">
        <is>
          <t>Prepare/facilitate additional client strategy sessions</t>
        </is>
      </c>
      <c r="D16" s="94">
        <f>IF('Partner_Effort'!C15="","",'Partner_Effort'!C15)</f>
        <v/>
      </c>
      <c r="E16" s="94" t="inlineStr">
        <is>
          <t>Partner hours × rate</t>
        </is>
      </c>
      <c r="F16" s="107">
        <f>IF('Partner_Effort'!D15="","",'Partner_Effort'!D15)</f>
        <v/>
      </c>
      <c r="G16" s="107">
        <f>IF('Partner_Effort'!E15="","",'Partner_Effort'!E15)</f>
        <v/>
      </c>
      <c r="H16" s="107">
        <f>IF('Partner_Effort'!F15="","",'Partner_Effort'!F15)</f>
        <v/>
      </c>
      <c r="I16" s="94" t="inlineStr">
        <is>
          <t>person-hours</t>
        </is>
      </c>
      <c r="J16" s="96" t="n"/>
      <c r="K16" s="108">
        <f>IF(OR(Inputs!$B$16="",F16="",J16=""),"TBD",F16*J16)</f>
        <v/>
      </c>
      <c r="L16" s="108">
        <f>IF(OR(Inputs!$B$16="",G16="",J16=""),"TBD",G16*J16)</f>
        <v/>
      </c>
      <c r="M16" s="108">
        <f>IF(OR(Inputs!$B$16="",H16="",J16=""),"TBD",H16*J16)</f>
        <v/>
      </c>
      <c r="N16" s="94" t="inlineStr">
        <is>
          <t>Mandatory</t>
        </is>
      </c>
      <c r="O16" s="94">
        <f>'Partner_Effort'!H15</f>
        <v/>
      </c>
      <c r="P16" s="94" t="inlineStr">
        <is>
          <t>Priorities, decisions and owners documented.</t>
        </is>
      </c>
      <c r="Q16" s="94" t="inlineStr">
        <is>
          <t>Client/board acceptance; numeric target TBD.</t>
        </is>
      </c>
      <c r="R16" s="94" t="inlineStr">
        <is>
          <t>Підготувати / провести додаткові стратегічні сесії з клієнтом</t>
        </is>
      </c>
    </row>
    <row r="17" ht="48" customHeight="1">
      <c r="A17" s="94" t="inlineStr">
        <is>
          <t>STR-02</t>
        </is>
      </c>
      <c r="B17" s="94" t="inlineStr">
        <is>
          <t>Track 1</t>
        </is>
      </c>
      <c r="C17" s="94" t="inlineStr">
        <is>
          <t>Prioritize development directions and expertise gaps</t>
        </is>
      </c>
      <c r="D17" s="94">
        <f>IF('Partner_Effort'!C16="","",'Partner_Effort'!C16)</f>
        <v/>
      </c>
      <c r="E17" s="94" t="inlineStr">
        <is>
          <t>Partner hours × rate</t>
        </is>
      </c>
      <c r="F17" s="107">
        <f>IF('Partner_Effort'!D16="","",'Partner_Effort'!D16)</f>
        <v/>
      </c>
      <c r="G17" s="107">
        <f>IF('Partner_Effort'!E16="","",'Partner_Effort'!E16)</f>
        <v/>
      </c>
      <c r="H17" s="107">
        <f>IF('Partner_Effort'!F16="","",'Partner_Effort'!F16)</f>
        <v/>
      </c>
      <c r="I17" s="94" t="inlineStr">
        <is>
          <t>person-hours</t>
        </is>
      </c>
      <c r="J17" s="96" t="n"/>
      <c r="K17" s="108">
        <f>IF(OR(Inputs!$B$16="",F17="",J17=""),"TBD",F17*J17)</f>
        <v/>
      </c>
      <c r="L17" s="108">
        <f>IF(OR(Inputs!$B$16="",G17="",J17=""),"TBD",G17*J17)</f>
        <v/>
      </c>
      <c r="M17" s="108">
        <f>IF(OR(Inputs!$B$16="",H17="",J17=""),"TBD",H17*J17)</f>
        <v/>
      </c>
      <c r="N17" s="94" t="inlineStr">
        <is>
          <t>Mandatory</t>
        </is>
      </c>
      <c r="O17" s="94">
        <f>'Partner_Effort'!H16</f>
        <v/>
      </c>
      <c r="P17" s="94" t="inlineStr">
        <is>
          <t>Priorities have rationale and client decision.</t>
        </is>
      </c>
      <c r="Q17" s="94" t="inlineStr">
        <is>
          <t>Client/board acceptance; numeric target TBD.</t>
        </is>
      </c>
      <c r="R17" s="94" t="inlineStr">
        <is>
          <t>Визначити пріоритети розвитку та прогалини в експертизі</t>
        </is>
      </c>
    </row>
    <row r="18" ht="48" customHeight="1">
      <c r="A18" s="94" t="inlineStr">
        <is>
          <t>STR-03</t>
        </is>
      </c>
      <c r="B18" s="94" t="inlineStr">
        <is>
          <t>Track 1</t>
        </is>
      </c>
      <c r="C18" s="94" t="inlineStr">
        <is>
          <t>Set criteria/process to review existing network experts</t>
        </is>
      </c>
      <c r="D18" s="94">
        <f>IF('Partner_Effort'!C17="","",'Partner_Effort'!C17)</f>
        <v/>
      </c>
      <c r="E18" s="94" t="inlineStr">
        <is>
          <t>Partner hours × rate</t>
        </is>
      </c>
      <c r="F18" s="107">
        <f>IF('Partner_Effort'!D17="","",'Partner_Effort'!D17)</f>
        <v/>
      </c>
      <c r="G18" s="107">
        <f>IF('Partner_Effort'!E17="","",'Partner_Effort'!E17)</f>
        <v/>
      </c>
      <c r="H18" s="107">
        <f>IF('Partner_Effort'!F17="","",'Partner_Effort'!F17)</f>
        <v/>
      </c>
      <c r="I18" s="94" t="inlineStr">
        <is>
          <t>person-hours</t>
        </is>
      </c>
      <c r="J18" s="96" t="n"/>
      <c r="K18" s="108">
        <f>IF(OR(Inputs!$B$16="",F18="",J18=""),"TBD",F18*J18)</f>
        <v/>
      </c>
      <c r="L18" s="108">
        <f>IF(OR(Inputs!$B$16="",G18="",J18=""),"TBD",G18*J18)</f>
        <v/>
      </c>
      <c r="M18" s="108">
        <f>IF(OR(Inputs!$B$16="",H18="",J18=""),"TBD",H18*J18)</f>
        <v/>
      </c>
      <c r="N18" s="94" t="inlineStr">
        <is>
          <t>Mandatory</t>
        </is>
      </c>
      <c r="O18" s="94">
        <f>'Partner_Effort'!H17</f>
        <v/>
      </c>
      <c r="P18" s="94" t="inlineStr">
        <is>
          <t>Review plan and consent/evidence boundaries approved.</t>
        </is>
      </c>
      <c r="Q18" s="94" t="inlineStr">
        <is>
          <t>Client/board acceptance; numeric target TBD.</t>
        </is>
      </c>
      <c r="R18" s="94" t="inlineStr">
        <is>
          <t>Визначити критерії та процес перевірки наявних експертів мережі</t>
        </is>
      </c>
    </row>
    <row r="19" ht="48" customHeight="1">
      <c r="A19" s="94" t="inlineStr">
        <is>
          <t>STR-04</t>
        </is>
      </c>
      <c r="B19" s="94" t="inlineStr">
        <is>
          <t>Track 4</t>
        </is>
      </c>
      <c r="C19" s="94" t="inlineStr">
        <is>
          <t>Prepare community questionnaire/campaign materials</t>
        </is>
      </c>
      <c r="D19" s="94">
        <f>IF('Partner_Effort'!C18="","",'Partner_Effort'!C18)</f>
        <v/>
      </c>
      <c r="E19" s="94" t="inlineStr">
        <is>
          <t>Partner hours × rate</t>
        </is>
      </c>
      <c r="F19" s="107">
        <f>IF('Partner_Effort'!D18="","",'Partner_Effort'!D18)</f>
        <v/>
      </c>
      <c r="G19" s="107">
        <f>IF('Partner_Effort'!E18="","",'Partner_Effort'!E18)</f>
        <v/>
      </c>
      <c r="H19" s="107">
        <f>IF('Partner_Effort'!F18="","",'Partner_Effort'!F18)</f>
        <v/>
      </c>
      <c r="I19" s="94" t="inlineStr">
        <is>
          <t>person-hours</t>
        </is>
      </c>
      <c r="J19" s="98">
        <f>IF(Inputs!$B$34="","",Inputs!$B$34)</f>
        <v/>
      </c>
      <c r="K19" s="108">
        <f>IF(OR(Inputs!$B$16="",F19="",J19=""),"TBD",F19*J19)</f>
        <v/>
      </c>
      <c r="L19" s="108">
        <f>IF(OR(Inputs!$B$16="",G19="",J19=""),"TBD",G19*J19)</f>
        <v/>
      </c>
      <c r="M19" s="108">
        <f>IF(OR(Inputs!$B$16="",H19="",J19=""),"TBD",H19*J19)</f>
        <v/>
      </c>
      <c r="N19" s="94" t="inlineStr">
        <is>
          <t>Mandatory</t>
        </is>
      </c>
      <c r="O19" s="94">
        <f>'Partner_Effort'!H18</f>
        <v/>
      </c>
      <c r="P19" s="94" t="inlineStr">
        <is>
          <t>Approved survey and outreach pack.</t>
        </is>
      </c>
      <c r="Q19" s="94" t="inlineStr">
        <is>
          <t>Client/board acceptance; numeric target TBD.</t>
        </is>
      </c>
      <c r="R19" s="94" t="inlineStr">
        <is>
          <t>Підготувати опитувальник спільноти й матеріали кампанії</t>
        </is>
      </c>
    </row>
    <row r="20" ht="48" customHeight="1">
      <c r="A20" s="94" t="inlineStr">
        <is>
          <t>STR-05</t>
        </is>
      </c>
      <c r="B20" s="94" t="inlineStr">
        <is>
          <t>Track 4</t>
        </is>
      </c>
      <c r="C20" s="94" t="inlineStr">
        <is>
          <t>Coordinate and operate approved outreach/survey campaign</t>
        </is>
      </c>
      <c r="D20" s="94">
        <f>IF('Partner_Effort'!C19="","",'Partner_Effort'!C19)</f>
        <v/>
      </c>
      <c r="E20" s="94" t="inlineStr">
        <is>
          <t>Partner hours × rate</t>
        </is>
      </c>
      <c r="F20" s="107">
        <f>IF('Partner_Effort'!D19="","",'Partner_Effort'!D19)</f>
        <v/>
      </c>
      <c r="G20" s="107">
        <f>IF('Partner_Effort'!E19="","",'Partner_Effort'!E19)</f>
        <v/>
      </c>
      <c r="H20" s="107">
        <f>IF('Partner_Effort'!F19="","",'Partner_Effort'!F19)</f>
        <v/>
      </c>
      <c r="I20" s="94" t="inlineStr">
        <is>
          <t>person-hours</t>
        </is>
      </c>
      <c r="J20" s="98">
        <f>IF(Inputs!$B$34="","",Inputs!$B$34)</f>
        <v/>
      </c>
      <c r="K20" s="108">
        <f>IF(OR(Inputs!$B$16="",F20="",J20=""),"TBD",F20*J20)</f>
        <v/>
      </c>
      <c r="L20" s="108">
        <f>IF(OR(Inputs!$B$16="",G20="",J20=""),"TBD",G20*J20)</f>
        <v/>
      </c>
      <c r="M20" s="108">
        <f>IF(OR(Inputs!$B$16="",H20="",J20=""),"TBD",H20*J20)</f>
        <v/>
      </c>
      <c r="N20" s="94" t="inlineStr">
        <is>
          <t>Mandatory</t>
        </is>
      </c>
      <c r="O20" s="94">
        <f>'Partner_Effort'!H19</f>
        <v/>
      </c>
      <c r="P20" s="94" t="inlineStr">
        <is>
          <t>Authorized-channel log and observed results.</t>
        </is>
      </c>
      <c r="Q20" s="94" t="inlineStr">
        <is>
          <t>Client/board acceptance; numeric target TBD.</t>
        </is>
      </c>
      <c r="R20" s="94" t="inlineStr">
        <is>
          <t>Координувати й провести погоджену кампанію залучення / опитування</t>
        </is>
      </c>
    </row>
    <row r="21" ht="48" customHeight="1">
      <c r="A21" s="94" t="inlineStr">
        <is>
          <t>STR-06</t>
        </is>
      </c>
      <c r="B21" s="94" t="inlineStr">
        <is>
          <t>Track 4</t>
        </is>
      </c>
      <c r="C21" s="94" t="inlineStr">
        <is>
          <t>Analyze responses and prepare client/board findings</t>
        </is>
      </c>
      <c r="D21" s="94">
        <f>IF('Partner_Effort'!C20="","",'Partner_Effort'!C20)</f>
        <v/>
      </c>
      <c r="E21" s="94" t="inlineStr">
        <is>
          <t>Partner hours × rate</t>
        </is>
      </c>
      <c r="F21" s="107">
        <f>IF('Partner_Effort'!D20="","",'Partner_Effort'!D20)</f>
        <v/>
      </c>
      <c r="G21" s="107">
        <f>IF('Partner_Effort'!E20="","",'Partner_Effort'!E20)</f>
        <v/>
      </c>
      <c r="H21" s="107">
        <f>IF('Partner_Effort'!F20="","",'Partner_Effort'!F20)</f>
        <v/>
      </c>
      <c r="I21" s="94" t="inlineStr">
        <is>
          <t>person-hours</t>
        </is>
      </c>
      <c r="J21" s="98">
        <f>IF(Inputs!$B$37="","",Inputs!$B$37)</f>
        <v/>
      </c>
      <c r="K21" s="108">
        <f>IF(OR(Inputs!$B$16="",F21="",J21=""),"TBD",F21*J21)</f>
        <v/>
      </c>
      <c r="L21" s="108">
        <f>IF(OR(Inputs!$B$16="",G21="",J21=""),"TBD",G21*J21)</f>
        <v/>
      </c>
      <c r="M21" s="108">
        <f>IF(OR(Inputs!$B$16="",H21="",J21=""),"TBD",H21*J21)</f>
        <v/>
      </c>
      <c r="N21" s="94" t="inlineStr">
        <is>
          <t>Mandatory</t>
        </is>
      </c>
      <c r="O21" s="94">
        <f>'Partner_Effort'!H20</f>
        <v/>
      </c>
      <c r="P21" s="94" t="inlineStr">
        <is>
          <t>Observed associations distinguished from causation.</t>
        </is>
      </c>
      <c r="Q21" s="94" t="inlineStr">
        <is>
          <t>Client/board acceptance; numeric target TBD.</t>
        </is>
      </c>
      <c r="R21" s="94" t="inlineStr">
        <is>
          <t>Проаналізувати відповіді та підготувати висновки для клієнта / ради</t>
        </is>
      </c>
    </row>
    <row r="22" ht="48" customHeight="1">
      <c r="A22" s="94" t="inlineStr">
        <is>
          <t>OPS-01</t>
        </is>
      </c>
      <c r="B22" s="94" t="inlineStr">
        <is>
          <t>Cross-track</t>
        </is>
      </c>
      <c r="C22" s="94" t="inlineStr">
        <is>
          <t>Client support and decision coordination</t>
        </is>
      </c>
      <c r="D22" s="94">
        <f>IF('Partner_Effort'!C21="","",'Partner_Effort'!C21)</f>
        <v/>
      </c>
      <c r="E22" s="94" t="inlineStr">
        <is>
          <t>Partner hours × rate</t>
        </is>
      </c>
      <c r="F22" s="107">
        <f>IF('Partner_Effort'!D21="","",'Partner_Effort'!D21)</f>
        <v/>
      </c>
      <c r="G22" s="107">
        <f>IF('Partner_Effort'!E21="","",'Partner_Effort'!E21)</f>
        <v/>
      </c>
      <c r="H22" s="107">
        <f>IF('Partner_Effort'!F21="","",'Partner_Effort'!F21)</f>
        <v/>
      </c>
      <c r="I22" s="94" t="inlineStr">
        <is>
          <t>person-hours</t>
        </is>
      </c>
      <c r="J22" s="98">
        <f>IF(Inputs!$B$33="","",Inputs!$B$33)</f>
        <v/>
      </c>
      <c r="K22" s="108">
        <f>IF(OR(Inputs!$B$16="",F22="",J22=""),"TBD",F22*J22)</f>
        <v/>
      </c>
      <c r="L22" s="108">
        <f>IF(OR(Inputs!$B$16="",G22="",J22=""),"TBD",G22*J22)</f>
        <v/>
      </c>
      <c r="M22" s="108">
        <f>IF(OR(Inputs!$B$16="",H22="",J22=""),"TBD",H22*J22)</f>
        <v/>
      </c>
      <c r="N22" s="94" t="inlineStr">
        <is>
          <t>Mandatory</t>
        </is>
      </c>
      <c r="O22" s="94">
        <f>'Partner_Effort'!H21</f>
        <v/>
      </c>
      <c r="P22" s="94" t="inlineStr">
        <is>
          <t>Decision, approval, risk/change log maintained.</t>
        </is>
      </c>
      <c r="Q22" s="94" t="inlineStr">
        <is>
          <t>Client/board acceptance; numeric target TBD.</t>
        </is>
      </c>
      <c r="R22" s="94" t="inlineStr">
        <is>
          <t>Підтримка клієнта й координація рішень</t>
        </is>
      </c>
    </row>
    <row r="23" ht="48" customHeight="1">
      <c r="A23" s="94" t="inlineStr">
        <is>
          <t>OPS-02</t>
        </is>
      </c>
      <c r="B23" s="94" t="inlineStr">
        <is>
          <t>Track 4</t>
        </is>
      </c>
      <c r="C23" s="94" t="inlineStr">
        <is>
          <t>Pilot operational coordination; dossier minutes excluded until measured</t>
        </is>
      </c>
      <c r="D23" s="94">
        <f>IF('Partner_Effort'!C22="","",'Partner_Effort'!C22)</f>
        <v/>
      </c>
      <c r="E23" s="94" t="inlineStr">
        <is>
          <t>Partner hours × rate</t>
        </is>
      </c>
      <c r="F23" s="107">
        <f>IF('Partner_Effort'!D22="","",'Partner_Effort'!D22)</f>
        <v/>
      </c>
      <c r="G23" s="107">
        <f>IF('Partner_Effort'!E22="","",'Partner_Effort'!E22)</f>
        <v/>
      </c>
      <c r="H23" s="107">
        <f>IF('Partner_Effort'!F22="","",'Partner_Effort'!F22)</f>
        <v/>
      </c>
      <c r="I23" s="94" t="inlineStr">
        <is>
          <t>person-hours</t>
        </is>
      </c>
      <c r="J23" s="98">
        <f>IF(Inputs!$B$34="","",Inputs!$B$34)</f>
        <v/>
      </c>
      <c r="K23" s="108">
        <f>IF(OR(Inputs!$B$16="",F23="",J23=""),"TBD",F23*J23)</f>
        <v/>
      </c>
      <c r="L23" s="108">
        <f>IF(OR(Inputs!$B$16="",G23="",J23=""),"TBD",G23*J23)</f>
        <v/>
      </c>
      <c r="M23" s="108">
        <f>IF(OR(Inputs!$B$16="",H23="",J23=""),"TBD",H23*J23)</f>
        <v/>
      </c>
      <c r="N23" s="94" t="inlineStr">
        <is>
          <t>Mandatory</t>
        </is>
      </c>
      <c r="O23" s="94">
        <f>'Partner_Effort'!H22</f>
        <v/>
      </c>
      <c r="P23" s="94" t="inlineStr">
        <is>
          <t>Pilot hand-offs/exceptions logged.</t>
        </is>
      </c>
      <c r="Q23" s="94" t="inlineStr">
        <is>
          <t>Client/board acceptance; numeric target TBD.</t>
        </is>
      </c>
      <c r="R23" s="94" t="inlineStr">
        <is>
          <t>Операційна координація пілота; хвилини роботи з досьє виключено до вимірювання</t>
        </is>
      </c>
    </row>
    <row r="24" ht="48" customHeight="1">
      <c r="A24" s="94" t="inlineStr">
        <is>
          <t>OPS-03</t>
        </is>
      </c>
      <c r="B24" s="94" t="inlineStr">
        <is>
          <t>Track 2</t>
        </is>
      </c>
      <c r="C24" s="94" t="inlineStr">
        <is>
          <t>Developer coordination, scope and acceptance</t>
        </is>
      </c>
      <c r="D24" s="94">
        <f>IF('Partner_Effort'!C23="","",'Partner_Effort'!C23)</f>
        <v/>
      </c>
      <c r="E24" s="94" t="inlineStr">
        <is>
          <t>Partner hours × rate</t>
        </is>
      </c>
      <c r="F24" s="107">
        <f>IF('Partner_Effort'!D23="","",'Partner_Effort'!D23)</f>
        <v/>
      </c>
      <c r="G24" s="107">
        <f>IF('Partner_Effort'!E23="","",'Partner_Effort'!E23)</f>
        <v/>
      </c>
      <c r="H24" s="107">
        <f>IF('Partner_Effort'!F23="","",'Partner_Effort'!F23)</f>
        <v/>
      </c>
      <c r="I24" s="94" t="inlineStr">
        <is>
          <t>person-hours</t>
        </is>
      </c>
      <c r="J24" s="98">
        <f>IF(Inputs!$B$35="","",Inputs!$B$35)</f>
        <v/>
      </c>
      <c r="K24" s="108">
        <f>IF(OR(Inputs!$B$16="",F24="",J24=""),"TBD",F24*J24)</f>
        <v/>
      </c>
      <c r="L24" s="108">
        <f>IF(OR(Inputs!$B$16="",G24="",J24=""),"TBD",G24*J24)</f>
        <v/>
      </c>
      <c r="M24" s="108">
        <f>IF(OR(Inputs!$B$16="",H24="",J24=""),"TBD",H24*J24)</f>
        <v/>
      </c>
      <c r="N24" s="94" t="inlineStr">
        <is>
          <t>Mandatory</t>
        </is>
      </c>
      <c r="O24" s="94">
        <f>'Partner_Effort'!H23</f>
        <v/>
      </c>
      <c r="P24" s="94" t="inlineStr">
        <is>
          <t>Requirements/acceptance trace to scope.</t>
        </is>
      </c>
      <c r="Q24" s="94" t="inlineStr">
        <is>
          <t>Client/board acceptance; numeric target TBD.</t>
        </is>
      </c>
      <c r="R24" s="94" t="inlineStr">
        <is>
          <t>Координація розробників, обсягу робіт і критеріїв приймання</t>
        </is>
      </c>
    </row>
    <row r="25" ht="48" customHeight="1">
      <c r="A25" s="94" t="inlineStr">
        <is>
          <t>TRN-01</t>
        </is>
      </c>
      <c r="B25" s="94" t="inlineStr">
        <is>
          <t>Track 1</t>
        </is>
      </c>
      <c r="C25" s="94" t="inlineStr">
        <is>
          <t>One-time OSINT/data-management training</t>
        </is>
      </c>
      <c r="D25" s="94" t="inlineStr">
        <is>
          <t>Specialist trainer</t>
        </is>
      </c>
      <c r="E25" s="94" t="inlineStr">
        <is>
          <t>hourly</t>
        </is>
      </c>
      <c r="F25" s="109" t="n"/>
      <c r="G25" s="109" t="n"/>
      <c r="H25" s="109" t="n"/>
      <c r="I25" s="94" t="inlineStr">
        <is>
          <t>person-hours</t>
        </is>
      </c>
      <c r="J25" s="98">
        <f>IF(Inputs!$B$36="","",Inputs!$B$36)</f>
        <v/>
      </c>
      <c r="K25" s="108">
        <f>IF(OR(Inputs!$B$16="",F25="",J25=""),"TBD",F25*J25)</f>
        <v/>
      </c>
      <c r="L25" s="108">
        <f>IF(OR(Inputs!$B$16="",G25="",J25=""),"TBD",G25*J25)</f>
        <v/>
      </c>
      <c r="M25" s="108">
        <f>IF(OR(Inputs!$B$16="",H25="",J25=""),"TBD",H25*J25)</f>
        <v/>
      </c>
      <c r="N25" s="94" t="inlineStr">
        <is>
          <t>Mandatory</t>
        </is>
      </c>
      <c r="O25" s="94" t="inlineStr">
        <is>
          <t>Max one working day; actual duration, attendees and prep TBD; cap is not base hours.</t>
        </is>
      </c>
      <c r="P25" s="94" t="inlineStr">
        <is>
          <t>Training objectives and completion recorded.</t>
        </is>
      </c>
      <c r="Q25" s="94" t="inlineStr">
        <is>
          <t>Numeric target TBD unless approved.</t>
        </is>
      </c>
      <c r="R25" s="94" t="inlineStr">
        <is>
          <t>Одноразове навчання з OSINT та управління даними</t>
        </is>
      </c>
    </row>
    <row r="26" ht="48" customHeight="1">
      <c r="A26" s="94" t="inlineStr">
        <is>
          <t>T3-AN-01</t>
        </is>
      </c>
      <c r="B26" s="94" t="inlineStr">
        <is>
          <t>Track 3</t>
        </is>
      </c>
      <c r="C26" s="94" t="inlineStr">
        <is>
          <t>Analyst: data governance, research and knowledge-base work</t>
        </is>
      </c>
      <c r="D26" s="94" t="inlineStr">
        <is>
          <t>At least one analyst</t>
        </is>
      </c>
      <c r="E26" s="94" t="inlineStr">
        <is>
          <t>hourly</t>
        </is>
      </c>
      <c r="F26" s="109" t="n"/>
      <c r="G26" s="109" t="n"/>
      <c r="H26" s="109" t="n"/>
      <c r="I26" s="94" t="inlineStr">
        <is>
          <t>person-hours</t>
        </is>
      </c>
      <c r="J26" s="98">
        <f>IF(Inputs!$B$37="","",Inputs!$B$37)</f>
        <v/>
      </c>
      <c r="K26" s="108">
        <f>IF(OR(Inputs!$B$16="",F26="",J26=""),"TBD",F26*J26)</f>
        <v/>
      </c>
      <c r="L26" s="108">
        <f>IF(OR(Inputs!$B$16="",G26="",J26=""),"TBD",G26*J26)</f>
        <v/>
      </c>
      <c r="M26" s="108">
        <f>IF(OR(Inputs!$B$16="",H26="",J26=""),"TBD",H26*J26)</f>
        <v/>
      </c>
      <c r="N26" s="94" t="inlineStr">
        <is>
          <t>Mandatory</t>
        </is>
      </c>
      <c r="O26" s="94" t="inlineStr">
        <is>
          <t>Hours TBD; allocate once across packages, without double-counting.</t>
        </is>
      </c>
      <c r="P26" s="94" t="inlineStr">
        <is>
          <t>Source-attributed data/knowledge output accepted.</t>
        </is>
      </c>
      <c r="Q26" s="94" t="inlineStr">
        <is>
          <t>Numeric target TBD unless approved.</t>
        </is>
      </c>
      <c r="R26" s="94" t="inlineStr">
        <is>
          <t>Аналітик: управління даними, дослідження та робота з базою знань</t>
        </is>
      </c>
    </row>
    <row r="27" ht="48" customHeight="1">
      <c r="A27" s="94" t="inlineStr">
        <is>
          <t>SW-01</t>
        </is>
      </c>
      <c r="B27" s="94" t="inlineStr">
        <is>
          <t>Track 2</t>
        </is>
      </c>
      <c r="C27" s="94" t="inlineStr">
        <is>
          <t>Residual application implementation, QA, security and deployment</t>
        </is>
      </c>
      <c r="D27" s="94" t="inlineStr">
        <is>
          <t>Developer/vendor</t>
        </is>
      </c>
      <c r="E27" s="94" t="inlineStr">
        <is>
          <t>quote</t>
        </is>
      </c>
      <c r="F27" s="109" t="n"/>
      <c r="G27" s="109" t="n"/>
      <c r="H27" s="109" t="n"/>
      <c r="I27" s="94" t="inlineStr">
        <is>
          <t>contract currency/project</t>
        </is>
      </c>
      <c r="J27" s="94" t="n"/>
      <c r="K27" s="108">
        <f>IF(OR(Inputs!$B$16="",F27=""),"TBD",F27)</f>
        <v/>
      </c>
      <c r="L27" s="108">
        <f>IF(OR(Inputs!$B$16="",G27=""),"TBD",G27)</f>
        <v/>
      </c>
      <c r="M27" s="108">
        <f>IF(OR(Inputs!$B$16="",H27=""),"TBD",H27)</f>
        <v/>
      </c>
      <c r="N27" s="94" t="inlineStr">
        <is>
          <t>Mandatory</t>
        </is>
      </c>
      <c r="O27" s="94" t="inlineStr">
        <is>
          <t>Quote after demo, residual scope, acceptance, data access, IP and support are reconciled; no historical greenfield estimate.</t>
        </is>
      </c>
      <c r="P27" s="94" t="inlineStr">
        <is>
          <t>Agreed workflows pass UAT/security/QA.</t>
        </is>
      </c>
      <c r="Q27" s="94" t="inlineStr">
        <is>
          <t>Numeric target TBD unless approved.</t>
        </is>
      </c>
      <c r="R27" s="94" t="inlineStr">
        <is>
          <t>Залишкова розробка застосунку, QA, безпека й розгортання</t>
        </is>
      </c>
    </row>
    <row r="28" ht="48" customHeight="1">
      <c r="A28" s="94" t="inlineStr">
        <is>
          <t>DATA-01</t>
        </is>
      </c>
      <c r="B28" s="94" t="inlineStr">
        <is>
          <t>Track 3</t>
        </is>
      </c>
      <c r="C28" s="94" t="inlineStr">
        <is>
          <t>Data model, analytics, dashboard and knowledge-base integration</t>
        </is>
      </c>
      <c r="D28" s="94" t="inlineStr">
        <is>
          <t>Developer/data vendor</t>
        </is>
      </c>
      <c r="E28" s="94" t="inlineStr">
        <is>
          <t>quote</t>
        </is>
      </c>
      <c r="F28" s="109" t="n"/>
      <c r="G28" s="109" t="n"/>
      <c r="H28" s="109" t="n"/>
      <c r="I28" s="94" t="inlineStr">
        <is>
          <t>contract currency/project</t>
        </is>
      </c>
      <c r="J28" s="94" t="n"/>
      <c r="K28" s="108">
        <f>IF(OR(Inputs!$B$16="",F28=""),"TBD",F28)</f>
        <v/>
      </c>
      <c r="L28" s="108">
        <f>IF(OR(Inputs!$B$16="",G28=""),"TBD",G28)</f>
        <v/>
      </c>
      <c r="M28" s="108">
        <f>IF(OR(Inputs!$B$16="",H28=""),"TBD",H28)</f>
        <v/>
      </c>
      <c r="N28" s="94" t="inlineStr">
        <is>
          <t>Mandatory</t>
        </is>
      </c>
      <c r="O28" s="94" t="inlineStr">
        <is>
          <t>Quote after data rights, provenance, owners, metrics and refresh rules are agreed.</t>
        </is>
      </c>
      <c r="P28" s="94" t="inlineStr">
        <is>
          <t>Lineage/access/refresh rules and outputs accepted.</t>
        </is>
      </c>
      <c r="Q28" s="94" t="inlineStr">
        <is>
          <t>Numeric target TBD unless approved.</t>
        </is>
      </c>
      <c r="R28" s="94" t="inlineStr">
        <is>
          <t>Модель даних, аналітика, панель і інтеграція бази знань</t>
        </is>
      </c>
    </row>
    <row r="29" ht="48" customHeight="1">
      <c r="A29" s="94" t="inlineStr">
        <is>
          <t>COMM-EXT</t>
        </is>
      </c>
      <c r="B29" s="94" t="inlineStr">
        <is>
          <t>Track 4</t>
        </is>
      </c>
      <c r="C29" s="94" t="inlineStr">
        <is>
          <t>Campaign, survey, publication, translation and event direct expenses</t>
        </is>
      </c>
      <c r="D29" s="94" t="inlineStr">
        <is>
          <t>External suppliers</t>
        </is>
      </c>
      <c r="E29" s="94" t="inlineStr">
        <is>
          <t>quote</t>
        </is>
      </c>
      <c r="F29" s="109" t="n"/>
      <c r="G29" s="109" t="n"/>
      <c r="H29" s="109" t="n"/>
      <c r="I29" s="94" t="inlineStr">
        <is>
          <t>contract currency/project</t>
        </is>
      </c>
      <c r="J29" s="94" t="n"/>
      <c r="K29" s="108">
        <f>IF(OR(Inputs!$B$16="",F29=""),"TBD",F29)</f>
        <v/>
      </c>
      <c r="L29" s="108">
        <f>IF(OR(Inputs!$B$16="",G29=""),"TBD",G29)</f>
        <v/>
      </c>
      <c r="M29" s="108">
        <f>IF(OR(Inputs!$B$16="",H29=""),"TBD",H29)</f>
        <v/>
      </c>
      <c r="N29" s="94" t="inlineStr">
        <is>
          <t>Mandatory</t>
        </is>
      </c>
      <c r="O29" s="94" t="inlineStr">
        <is>
          <t>Quote/verified cost required; no audience or fee assumed.</t>
        </is>
      </c>
      <c r="P29" s="94" t="inlineStr">
        <is>
          <t>Approved assets/events delivered; channel results recorded.</t>
        </is>
      </c>
      <c r="Q29" s="94" t="inlineStr">
        <is>
          <t>Numeric target TBD unless approved.</t>
        </is>
      </c>
      <c r="R29" s="94" t="inlineStr">
        <is>
          <t>Прямі витрати кампанії, опитування, публікації, перекладу й заходів</t>
        </is>
      </c>
    </row>
    <row r="30" ht="48" customHeight="1">
      <c r="A30" s="94" t="inlineStr">
        <is>
          <t>DOS-PREP</t>
        </is>
      </c>
      <c r="B30" s="94" t="inlineStr">
        <is>
          <t>Dossier pilot</t>
        </is>
      </c>
      <c r="C30" s="94" t="inlineStr">
        <is>
          <t>Human preparation per dossier</t>
        </is>
      </c>
      <c r="D30" s="94" t="inlineStr">
        <is>
          <t>Analyst/operator</t>
        </is>
      </c>
      <c r="E30" s="94" t="inlineStr">
        <is>
          <t>dossier-hour</t>
        </is>
      </c>
      <c r="F30" s="107">
        <f>IF('Revised_Scope'!C27="TBD","",'Revised_Scope'!C27)</f>
        <v/>
      </c>
      <c r="G30" s="107">
        <f>IF('Revised_Scope'!C28="TBD","",'Revised_Scope'!C28)</f>
        <v/>
      </c>
      <c r="H30" s="107">
        <f>IF('Revised_Scope'!C29="TBD","",'Revised_Scope'!C29)</f>
        <v/>
      </c>
      <c r="I30" s="94" t="inlineStr">
        <is>
          <t>person-hours</t>
        </is>
      </c>
      <c r="J30" s="98">
        <f>IF(Inputs!$B$37="","",Inputs!$B$37)</f>
        <v/>
      </c>
      <c r="K30" s="108">
        <f>IF(OR(Inputs!$B$16="",F30="",J30=""),"TBD",F30*J30)</f>
        <v/>
      </c>
      <c r="L30" s="108">
        <f>IF(OR(Inputs!$B$16="",G30="",J30=""),"TBD",G30*J30)</f>
        <v/>
      </c>
      <c r="M30" s="108">
        <f>IF(OR(Inputs!$B$16="",H30="",J30=""),"TBD",H30*J30)</f>
        <v/>
      </c>
      <c r="N30" s="100" t="inlineStr">
        <is>
          <t>Decision required</t>
        </is>
      </c>
      <c r="O30" s="94" t="inlineStr">
        <is>
          <t>Hours link to Revised_Scope; possible volume only; measure in approved live pilot.</t>
        </is>
      </c>
      <c r="P30" s="94" t="inlineStr">
        <is>
          <t>Observed minutes per dossier; target TBD.</t>
        </is>
      </c>
      <c r="Q30" s="94" t="inlineStr">
        <is>
          <t>Numeric target TBD unless approved.</t>
        </is>
      </c>
      <c r="R30" s="94" t="inlineStr">
        <is>
          <t>Людська підготовка одного досьє</t>
        </is>
      </c>
    </row>
    <row r="31" ht="48" customHeight="1">
      <c r="A31" s="94" t="inlineStr">
        <is>
          <t>DOS-VERIFY</t>
        </is>
      </c>
      <c r="B31" s="94" t="inlineStr">
        <is>
          <t>Dossier pilot</t>
        </is>
      </c>
      <c r="C31" s="94" t="inlineStr">
        <is>
          <t>Human evidence review/verification</t>
        </is>
      </c>
      <c r="D31" s="94" t="inlineStr">
        <is>
          <t>Selected reviewer(s)</t>
        </is>
      </c>
      <c r="E31" s="94" t="inlineStr">
        <is>
          <t>dossier-hour</t>
        </is>
      </c>
      <c r="F31" s="107">
        <f>IF('Revised_Scope'!D27="TBD","",'Revised_Scope'!D27)</f>
        <v/>
      </c>
      <c r="G31" s="107">
        <f>IF('Revised_Scope'!D28="TBD","",'Revised_Scope'!D28)</f>
        <v/>
      </c>
      <c r="H31" s="107">
        <f>IF('Revised_Scope'!D29="TBD","",'Revised_Scope'!D29)</f>
        <v/>
      </c>
      <c r="I31" s="94" t="inlineStr">
        <is>
          <t>person-hours</t>
        </is>
      </c>
      <c r="J31" s="98">
        <f>IF(Inputs!$B$38="","",Inputs!$B$38)</f>
        <v/>
      </c>
      <c r="K31" s="108">
        <f>IF(OR(Inputs!$B$16="",F31="",J31=""),"TBD",F31*J31)</f>
        <v/>
      </c>
      <c r="L31" s="108">
        <f>IF(OR(Inputs!$B$16="",G31="",J31=""),"TBD",G31*J31)</f>
        <v/>
      </c>
      <c r="M31" s="108">
        <f>IF(OR(Inputs!$B$16="",H31="",J31=""),"TBD",H31*J31)</f>
        <v/>
      </c>
      <c r="N31" s="100" t="inlineStr">
        <is>
          <t>Decision required</t>
        </is>
      </c>
      <c r="O31" s="94" t="inlineStr">
        <is>
          <t>Time linked from Revised_Scope; payment status unmeasured.</t>
        </is>
      </c>
      <c r="P31" s="94" t="inlineStr">
        <is>
          <t>Review traceability; threshold to be agreed.</t>
        </is>
      </c>
      <c r="Q31" s="94" t="inlineStr">
        <is>
          <t>Numeric target TBD unless approved.</t>
        </is>
      </c>
      <c r="R31" s="94" t="inlineStr">
        <is>
          <t>Людський перегляд / перевірка доказів</t>
        </is>
      </c>
    </row>
    <row r="32" ht="48" customHeight="1">
      <c r="A32" s="94" t="inlineStr">
        <is>
          <t>DOS-REWORK</t>
        </is>
      </c>
      <c r="B32" s="94" t="inlineStr">
        <is>
          <t>Dossier pilot</t>
        </is>
      </c>
      <c r="C32" s="94" t="inlineStr">
        <is>
          <t>Correction, appeal and rework</t>
        </is>
      </c>
      <c r="D32" s="94" t="inlineStr">
        <is>
          <t>Reviewer/operator</t>
        </is>
      </c>
      <c r="E32" s="94" t="inlineStr">
        <is>
          <t>dossier-hour</t>
        </is>
      </c>
      <c r="F32" s="107">
        <f>IF('Revised_Scope'!E27="TBD","",'Revised_Scope'!E27)</f>
        <v/>
      </c>
      <c r="G32" s="107">
        <f>IF('Revised_Scope'!E28="TBD","",'Revised_Scope'!E28)</f>
        <v/>
      </c>
      <c r="H32" s="107">
        <f>IF('Revised_Scope'!E29="TBD","",'Revised_Scope'!E29)</f>
        <v/>
      </c>
      <c r="I32" s="94" t="inlineStr">
        <is>
          <t>person-hours</t>
        </is>
      </c>
      <c r="J32" s="98">
        <f>IF(Inputs!$B$38="","",Inputs!$B$38)</f>
        <v/>
      </c>
      <c r="K32" s="108">
        <f>IF(OR(Inputs!$B$16="",F32="",J32=""),"TBD",F32*J32)</f>
        <v/>
      </c>
      <c r="L32" s="108">
        <f>IF(OR(Inputs!$B$16="",G32="",J32=""),"TBD",G32*J32)</f>
        <v/>
      </c>
      <c r="M32" s="108">
        <f>IF(OR(Inputs!$B$16="",H32="",J32=""),"TBD",H32*J32)</f>
        <v/>
      </c>
      <c r="N32" s="100" t="inlineStr">
        <is>
          <t>Decision required</t>
        </is>
      </c>
      <c r="O32" s="94" t="inlineStr">
        <is>
          <t>Measured only; no exception/rework rate assumed.</t>
        </is>
      </c>
      <c r="P32" s="94" t="inlineStr">
        <is>
          <t>Observed minutes and cases reported.</t>
        </is>
      </c>
      <c r="Q32" s="94" t="inlineStr">
        <is>
          <t>Numeric target TBD unless approved.</t>
        </is>
      </c>
      <c r="R32" s="94" t="inlineStr">
        <is>
          <t>Виправлення, оскарження та повторна робота</t>
        </is>
      </c>
    </row>
    <row r="33" ht="48" customHeight="1">
      <c r="A33" s="94" t="inlineStr">
        <is>
          <t>DOS-CLIENT</t>
        </is>
      </c>
      <c r="B33" s="94" t="inlineStr">
        <is>
          <t>Dossier pilot</t>
        </is>
      </c>
      <c r="C33" s="94" t="inlineStr">
        <is>
          <t>Client decision/approval effort</t>
        </is>
      </c>
      <c r="D33" s="94" t="inlineStr">
        <is>
          <t>Client-side approver</t>
        </is>
      </c>
      <c r="E33" s="94" t="inlineStr">
        <is>
          <t>dossier-client</t>
        </is>
      </c>
      <c r="F33" s="107">
        <f>IF('Revised_Scope'!F27="TBD","",'Revised_Scope'!F27)</f>
        <v/>
      </c>
      <c r="G33" s="107">
        <f>IF('Revised_Scope'!F28="TBD","",'Revised_Scope'!F28)</f>
        <v/>
      </c>
      <c r="H33" s="107">
        <f>IF('Revised_Scope'!F29="TBD","",'Revised_Scope'!F29)</f>
        <v/>
      </c>
      <c r="I33" s="94" t="inlineStr">
        <is>
          <t>person-hours</t>
        </is>
      </c>
      <c r="J33" s="94" t="n"/>
      <c r="K33" s="108" t="inlineStr">
        <is>
          <t>Not priced — client-side effort</t>
        </is>
      </c>
      <c r="L33" s="108" t="inlineStr">
        <is>
          <t>Not priced — client-side effort</t>
        </is>
      </c>
      <c r="M33" s="108" t="inlineStr">
        <is>
          <t>Not priced — client-side effort</t>
        </is>
      </c>
      <c r="N33" s="101" t="inlineStr">
        <is>
          <t>Client-side effort</t>
        </is>
      </c>
      <c r="O33" s="94" t="inlineStr">
        <is>
          <t>Client hours shown separately and excluded from supplier price; batch/per-dossier allocation TBD.</t>
        </is>
      </c>
      <c r="P33" s="94" t="inlineStr">
        <is>
          <t>Client approval effort measured separately.</t>
        </is>
      </c>
      <c r="Q33" s="94" t="inlineStr">
        <is>
          <t>Numeric target TBD unless approved.</t>
        </is>
      </c>
      <c r="R33" s="94" t="inlineStr">
        <is>
          <t>Час клієнта на ухвалення / погодження рішень</t>
        </is>
      </c>
    </row>
    <row r="34" ht="48" customHeight="1">
      <c r="A34" s="94" t="inlineStr">
        <is>
          <t>DOS-API</t>
        </is>
      </c>
      <c r="B34" s="94" t="inlineStr">
        <is>
          <t>Dossier pilot</t>
        </is>
      </c>
      <c r="C34" s="94" t="inlineStr">
        <is>
          <t>AI provider/API usage for dossier preparation</t>
        </is>
      </c>
      <c r="D34" s="94" t="inlineStr">
        <is>
          <t>Selected provider</t>
        </is>
      </c>
      <c r="E34" s="94" t="inlineStr">
        <is>
          <t>dossier-api</t>
        </is>
      </c>
      <c r="F34" s="107">
        <f>IF('Revised_Scope'!I27="TBD","",'Revised_Scope'!I27)</f>
        <v/>
      </c>
      <c r="G34" s="107">
        <f>IF('Revised_Scope'!I28="TBD","",'Revised_Scope'!I28)</f>
        <v/>
      </c>
      <c r="H34" s="107">
        <f>IF('Revised_Scope'!I29="TBD","",'Revised_Scope'!I29)</f>
        <v/>
      </c>
      <c r="I34" s="94" t="inlineStr">
        <is>
          <t>contract currency/scenario</t>
        </is>
      </c>
      <c r="J34" s="94" t="n"/>
      <c r="K34" s="108">
        <f>IF(OR(Inputs!$B$16="",F34=""),"TBD",F34)</f>
        <v/>
      </c>
      <c r="L34" s="108">
        <f>IF(OR(Inputs!$B$16="",G34=""),"TBD",G34)</f>
        <v/>
      </c>
      <c r="M34" s="108">
        <f>IF(OR(Inputs!$B$16="",H34=""),"TBD",H34)</f>
        <v/>
      </c>
      <c r="N34" s="100" t="inlineStr">
        <is>
          <t>Decision required</t>
        </is>
      </c>
      <c r="O34" s="94" t="inlineStr">
        <is>
          <t>Linked to Revised_Scope; provider/model/profile unselected.</t>
        </is>
      </c>
      <c r="P34" s="94" t="inlineStr">
        <is>
          <t>Metered cost per dossier; no cost assumed.</t>
        </is>
      </c>
      <c r="Q34" s="94" t="inlineStr">
        <is>
          <t>Numeric target TBD unless approved.</t>
        </is>
      </c>
      <c r="R34" s="94" t="inlineStr">
        <is>
          <t>Використання AI-провайдера / API для підготовки досьє</t>
        </is>
      </c>
    </row>
    <row r="35" ht="48" customHeight="1">
      <c r="A35" s="94" t="inlineStr">
        <is>
          <t>GATE-4A</t>
        </is>
      </c>
      <c r="B35" s="94" t="inlineStr">
        <is>
          <t>Track 4A</t>
        </is>
      </c>
      <c r="C35" s="94" t="inlineStr">
        <is>
          <t>Pilot evaluation and written continuation decision</t>
        </is>
      </c>
      <c r="D35" s="94" t="inlineStr">
        <is>
          <t>Partners/client/evaluator</t>
        </is>
      </c>
      <c r="E35" s="94" t="inlineStr">
        <is>
          <t>quote</t>
        </is>
      </c>
      <c r="F35" s="109" t="n"/>
      <c r="G35" s="109" t="n"/>
      <c r="H35" s="109" t="n"/>
      <c r="I35" s="94" t="inlineStr">
        <is>
          <t>contract currency/project</t>
        </is>
      </c>
      <c r="J35" s="94" t="n"/>
      <c r="K35" s="108">
        <f>IF(OR(Inputs!$B$16="",F35=""),"TBD",F35)</f>
        <v/>
      </c>
      <c r="L35" s="108">
        <f>IF(OR(Inputs!$B$16="",G35=""),"TBD",G35)</f>
        <v/>
      </c>
      <c r="M35" s="108">
        <f>IF(OR(Inputs!$B$16="",H35=""),"TBD",H35)</f>
        <v/>
      </c>
      <c r="N35" s="100" t="inlineStr">
        <is>
          <t>Decision required</t>
        </is>
      </c>
      <c r="O35" s="94" t="inlineStr">
        <is>
          <t>Go/no-go scope and evaluation design not selected.</t>
        </is>
      </c>
      <c r="P35" s="94" t="inlineStr">
        <is>
          <t>Written stop/continue decision against agreed criteria.</t>
        </is>
      </c>
      <c r="Q35" s="94" t="inlineStr">
        <is>
          <t>Numeric target TBD unless approved.</t>
        </is>
      </c>
      <c r="R35" s="94" t="inlineStr">
        <is>
          <t>Оцінка пілота й письмове рішення про продовження</t>
        </is>
      </c>
    </row>
    <row r="36" ht="48" customHeight="1">
      <c r="A36" s="94" t="inlineStr">
        <is>
          <t>T5-BUILD</t>
        </is>
      </c>
      <c r="B36" s="94" t="inlineStr">
        <is>
          <t>Track 5</t>
        </is>
      </c>
      <c r="C36" s="94" t="inlineStr">
        <is>
          <t>Conditional AI/OSINT/chatbot implementation/integration</t>
        </is>
      </c>
      <c r="D36" s="94" t="inlineStr">
        <is>
          <t>Developer/vendor</t>
        </is>
      </c>
      <c r="E36" s="94" t="inlineStr">
        <is>
          <t>quote</t>
        </is>
      </c>
      <c r="F36" s="109" t="n"/>
      <c r="G36" s="109" t="n"/>
      <c r="H36" s="109" t="n"/>
      <c r="I36" s="94" t="inlineStr">
        <is>
          <t>contract currency/project</t>
        </is>
      </c>
      <c r="J36" s="94" t="n"/>
      <c r="K36" s="108">
        <f>IF(OR(Inputs!$B$16="",F36=""),"TBD",F36)</f>
        <v/>
      </c>
      <c r="L36" s="108">
        <f>IF(OR(Inputs!$B$16="",G36=""),"TBD",G36)</f>
        <v/>
      </c>
      <c r="M36" s="108">
        <f>IF(OR(Inputs!$B$16="",H36=""),"TBD",H36)</f>
        <v/>
      </c>
      <c r="N36" s="100" t="inlineStr">
        <is>
          <t>Decision required</t>
        </is>
      </c>
      <c r="O36" s="94" t="inlineStr">
        <is>
          <t>Only after Gate 4A approval and data rights/readiness.</t>
        </is>
      </c>
      <c r="P36" s="94" t="inlineStr">
        <is>
          <t>Agreed citations, audit, human review and rollback tested.</t>
        </is>
      </c>
      <c r="Q36" s="94" t="inlineStr">
        <is>
          <t>Numeric target TBD unless approved.</t>
        </is>
      </c>
      <c r="R36" s="94" t="inlineStr">
        <is>
          <t>Умовна розробка / інтеграція AI, OSINT або чатбота</t>
        </is>
      </c>
    </row>
    <row r="37" ht="48" customHeight="1">
      <c r="A37" s="94" t="inlineStr">
        <is>
          <t>T5-USAGE</t>
        </is>
      </c>
      <c r="B37" s="94" t="inlineStr">
        <is>
          <t>Track 5</t>
        </is>
      </c>
      <c r="C37" s="94" t="inlineStr">
        <is>
          <t>Conditional model/API/OSINT usage</t>
        </is>
      </c>
      <c r="D37" s="94" t="inlineStr">
        <is>
          <t>Selected provider(s)</t>
        </is>
      </c>
      <c r="E37" s="94" t="inlineStr">
        <is>
          <t>quote</t>
        </is>
      </c>
      <c r="F37" s="109" t="n"/>
      <c r="G37" s="109" t="n"/>
      <c r="H37" s="109" t="n"/>
      <c r="I37" s="94" t="inlineStr">
        <is>
          <t>contract currency/project-period</t>
        </is>
      </c>
      <c r="J37" s="94" t="n"/>
      <c r="K37" s="108">
        <f>IF(OR(Inputs!$B$16="",F37=""),"TBD",F37)</f>
        <v/>
      </c>
      <c r="L37" s="108">
        <f>IF(OR(Inputs!$B$16="",G37=""),"TBD",G37)</f>
        <v/>
      </c>
      <c r="M37" s="108">
        <f>IF(OR(Inputs!$B$16="",H37=""),"TBD",H37)</f>
        <v/>
      </c>
      <c r="N37" s="100" t="inlineStr">
        <is>
          <t>Decision required</t>
        </is>
      </c>
      <c r="O37" s="94" t="inlineStr">
        <is>
          <t>Provider, duration and workload profile not selected.</t>
        </is>
      </c>
      <c r="P37" s="94" t="inlineStr">
        <is>
          <t>Usage/cost against approved ceiling; ceiling TBD.</t>
        </is>
      </c>
      <c r="Q37" s="94" t="inlineStr">
        <is>
          <t>Numeric target TBD unless approved.</t>
        </is>
      </c>
      <c r="R37" s="94" t="inlineStr">
        <is>
          <t>Умовне використання моделей / API / OSINT</t>
        </is>
      </c>
    </row>
    <row r="38" ht="48" customHeight="1">
      <c r="A38" s="94" t="inlineStr">
        <is>
          <t>LEGAL-01</t>
        </is>
      </c>
      <c r="B38" s="94" t="inlineStr">
        <is>
          <t>Cross-track</t>
        </is>
      </c>
      <c r="C38" s="94" t="inlineStr">
        <is>
          <t>Privacy, legal, security and data-rights review</t>
        </is>
      </c>
      <c r="D38" s="94" t="inlineStr">
        <is>
          <t>Qualified reviewer</t>
        </is>
      </c>
      <c r="E38" s="94" t="inlineStr">
        <is>
          <t>quote</t>
        </is>
      </c>
      <c r="F38" s="109" t="n"/>
      <c r="G38" s="109" t="n"/>
      <c r="H38" s="109" t="n"/>
      <c r="I38" s="94" t="inlineStr">
        <is>
          <t>contract currency/project</t>
        </is>
      </c>
      <c r="J38" s="94" t="n"/>
      <c r="K38" s="108">
        <f>IF(OR(Inputs!$B$16="",F38=""),"TBD",F38)</f>
        <v/>
      </c>
      <c r="L38" s="108">
        <f>IF(OR(Inputs!$B$16="",G38=""),"TBD",G38)</f>
        <v/>
      </c>
      <c r="M38" s="108">
        <f>IF(OR(Inputs!$B$16="",H38=""),"TBD",H38)</f>
        <v/>
      </c>
      <c r="N38" s="94" t="inlineStr">
        <is>
          <t>Mandatory</t>
        </is>
      </c>
      <c r="O38" s="94" t="inlineStr">
        <is>
          <t>Scope depends on lawful basis, data access, jurisdiction and providers.</t>
        </is>
      </c>
      <c r="P38" s="94" t="inlineStr">
        <is>
          <t>Review completed and control actions tracked.</t>
        </is>
      </c>
      <c r="Q38" s="94" t="inlineStr">
        <is>
          <t>Numeric target TBD unless approved.</t>
        </is>
      </c>
      <c r="R38" s="94" t="inlineStr">
        <is>
          <t>Перевірка приватності, права, безпеки й прав на дані</t>
        </is>
      </c>
    </row>
    <row r="39" ht="48" customHeight="1">
      <c r="A39" s="94" t="inlineStr">
        <is>
          <t>OPS-RUN</t>
        </is>
      </c>
      <c r="B39" s="94" t="inlineStr">
        <is>
          <t>Post-launch</t>
        </is>
      </c>
      <c r="C39" s="94" t="inlineStr">
        <is>
          <t>Post-launch operations/support for agreed period</t>
        </is>
      </c>
      <c r="D39" s="94" t="inlineStr">
        <is>
          <t>Service team</t>
        </is>
      </c>
      <c r="E39" s="94" t="inlineStr">
        <is>
          <t>monthly</t>
        </is>
      </c>
      <c r="F39" s="107">
        <f>IF(Inputs!$B$45="","",Inputs!$B$45)</f>
        <v/>
      </c>
      <c r="G39" s="107">
        <f>IF(Inputs!$B$45="","",Inputs!$B$45)</f>
        <v/>
      </c>
      <c r="H39" s="107">
        <f>IF(Inputs!$B$45="","",Inputs!$B$45)</f>
        <v/>
      </c>
      <c r="I39" s="94" t="inlineStr">
        <is>
          <t>months</t>
        </is>
      </c>
      <c r="J39" s="98">
        <f>IF(Inputs!$B$23="","",Inputs!$B$23)</f>
        <v/>
      </c>
      <c r="K39" s="108">
        <f>IF(OR(Inputs!$B$16="",F39="",J39=""),"TBD",F39*J39)</f>
        <v/>
      </c>
      <c r="L39" s="108">
        <f>IF(OR(Inputs!$B$16="",G39="",J39=""),"TBD",G39*J39)</f>
        <v/>
      </c>
      <c r="M39" s="108">
        <f>IF(OR(Inputs!$B$16="",H39="",J39=""),"TBD",H39*J39)</f>
        <v/>
      </c>
      <c r="N39" s="100" t="inlineStr">
        <is>
          <t>Decision required</t>
        </is>
      </c>
      <c r="O39" s="94" t="inlineStr">
        <is>
          <t>Inputs!B23 monthly rate × Inputs!B45 duration; no default period.</t>
        </is>
      </c>
      <c r="P39" s="94" t="inlineStr">
        <is>
          <t>Service levels agreed.</t>
        </is>
      </c>
      <c r="Q39" s="94" t="inlineStr">
        <is>
          <t>Numeric target TBD unless approved.</t>
        </is>
      </c>
      <c r="R39" s="94" t="inlineStr">
        <is>
          <t>Операції / підтримка після запуску за погоджений період</t>
        </is>
      </c>
    </row>
    <row r="40" ht="48" customHeight="1">
      <c r="A40" s="94" t="inlineStr">
        <is>
          <t>SAAS-RUN</t>
        </is>
      </c>
      <c r="B40" s="94" t="inlineStr">
        <is>
          <t>Post-launch</t>
        </is>
      </c>
      <c r="C40" s="94" t="inlineStr">
        <is>
          <t>Hosting, licences and recurring SaaS</t>
        </is>
      </c>
      <c r="D40" s="94" t="inlineStr">
        <is>
          <t>Selected providers</t>
        </is>
      </c>
      <c r="E40" s="94" t="inlineStr">
        <is>
          <t>monthly</t>
        </is>
      </c>
      <c r="F40" s="107">
        <f>IF(Inputs!$B$46="","",Inputs!$B$46)</f>
        <v/>
      </c>
      <c r="G40" s="107">
        <f>IF(Inputs!$B$46="","",Inputs!$B$46)</f>
        <v/>
      </c>
      <c r="H40" s="107">
        <f>IF(Inputs!$B$46="","",Inputs!$B$46)</f>
        <v/>
      </c>
      <c r="I40" s="94" t="inlineStr">
        <is>
          <t>months</t>
        </is>
      </c>
      <c r="J40" s="98">
        <f>IF(Inputs!$B$24="","",Inputs!$B$24)</f>
        <v/>
      </c>
      <c r="K40" s="108">
        <f>IF(OR(Inputs!$B$16="",F40="",J40=""),"TBD",F40*J40)</f>
        <v/>
      </c>
      <c r="L40" s="108">
        <f>IF(OR(Inputs!$B$16="",G40="",J40=""),"TBD",G40*J40)</f>
        <v/>
      </c>
      <c r="M40" s="108">
        <f>IF(OR(Inputs!$B$16="",H40="",J40=""),"TBD",H40*J40)</f>
        <v/>
      </c>
      <c r="N40" s="100" t="inlineStr">
        <is>
          <t>Decision required</t>
        </is>
      </c>
      <c r="O40" s="94" t="inlineStr">
        <is>
          <t>Inputs!B24 monthly cost × Inputs!B46 duration; providers/period TBD.</t>
        </is>
      </c>
      <c r="P40" s="94" t="inlineStr">
        <is>
          <t>Availability/retention/backup/licence terms verified.</t>
        </is>
      </c>
      <c r="Q40" s="94" t="inlineStr">
        <is>
          <t>Numeric target TBD unless approved.</t>
        </is>
      </c>
      <c r="R40" s="94" t="inlineStr">
        <is>
          <t>Хостинг, ліцензії та регулярні SaaS-витрати</t>
        </is>
      </c>
    </row>
    <row r="41" ht="48" customHeight="1">
      <c r="A41" s="94" t="inlineStr">
        <is>
          <t>ASSIST-01</t>
        </is>
      </c>
      <c r="B41" s="94" t="inlineStr">
        <is>
          <t>Optional</t>
        </is>
      </c>
      <c r="C41" s="94" t="inlineStr">
        <is>
          <t>Optional assistant capacity</t>
        </is>
      </c>
      <c r="D41" s="94" t="inlineStr">
        <is>
          <t>Assistant</t>
        </is>
      </c>
      <c r="E41" s="94" t="inlineStr">
        <is>
          <t>assistant</t>
        </is>
      </c>
      <c r="F41" s="109" t="n"/>
      <c r="G41" s="109" t="n"/>
      <c r="H41" s="109" t="n"/>
      <c r="I41" s="94" t="inlineStr">
        <is>
          <t>person-hours</t>
        </is>
      </c>
      <c r="J41" s="98">
        <f>IF(Inputs!$B$39="","",Inputs!$B$39)</f>
        <v/>
      </c>
      <c r="K41" s="108">
        <f>IF(OR(Inputs!$B$16="",F41="",J41=""),"TBD",F41*J41)</f>
        <v/>
      </c>
      <c r="L41" s="108">
        <f>IF(OR(Inputs!$B$16="",G41="",J41=""),"TBD",G41*J41)</f>
        <v/>
      </c>
      <c r="M41" s="108">
        <f>IF(OR(Inputs!$B$16="",H41="",J41=""),"TBD",H41*J41)</f>
        <v/>
      </c>
      <c r="N41" s="94">
        <f>IF(Inputs!$B$44="Yes","Selected — include","Optional — excluded")</f>
        <v/>
      </c>
      <c r="O41" s="94" t="inlineStr">
        <is>
          <t>Only if Inputs!B44=Yes; hours/rate not assumed.</t>
        </is>
      </c>
      <c r="P41" s="94" t="inlineStr">
        <is>
          <t>Task scope agreed before entry.</t>
        </is>
      </c>
      <c r="Q41" s="94" t="inlineStr">
        <is>
          <t>Numeric target TBD unless approved.</t>
        </is>
      </c>
      <c r="R41" s="94" t="inlineStr">
        <is>
          <t>Необов’язкова потужність асистента</t>
        </is>
      </c>
    </row>
    <row r="42" ht="48" customHeight="1">
      <c r="A42" s="94" t="inlineStr">
        <is>
          <t>TRAVEL-01</t>
        </is>
      </c>
      <c r="B42" s="94" t="inlineStr">
        <is>
          <t>Cross-track</t>
        </is>
      </c>
      <c r="C42" s="94" t="inlineStr">
        <is>
          <t>Approved travel/fieldwork/in-person meeting expenses</t>
        </is>
      </c>
      <c r="D42" s="94" t="inlineStr">
        <is>
          <t>Approved suppliers/partners</t>
        </is>
      </c>
      <c r="E42" s="94" t="inlineStr">
        <is>
          <t>quote</t>
        </is>
      </c>
      <c r="F42" s="109" t="n"/>
      <c r="G42" s="109" t="n"/>
      <c r="H42" s="109" t="n"/>
      <c r="I42" s="94" t="inlineStr">
        <is>
          <t>contract currency/project</t>
        </is>
      </c>
      <c r="J42" s="94" t="n"/>
      <c r="K42" s="108">
        <f>IF(OR(Inputs!$B$16="",F42=""),"TBD",F42)</f>
        <v/>
      </c>
      <c r="L42" s="108">
        <f>IF(OR(Inputs!$B$16="",G42=""),"TBD",G42)</f>
        <v/>
      </c>
      <c r="M42" s="108">
        <f>IF(OR(Inputs!$B$16="",H42=""),"TBD",H42)</f>
        <v/>
      </c>
      <c r="N42" s="100" t="inlineStr">
        <is>
          <t>Decision required</t>
        </is>
      </c>
      <c r="O42" s="94" t="inlineStr">
        <is>
          <t>Only if required and approved; no frequency/amount assumed.</t>
        </is>
      </c>
      <c r="P42" s="94" t="inlineStr">
        <is>
          <t>Authorization and receipts/quotes recorded.</t>
        </is>
      </c>
      <c r="Q42" s="94" t="inlineStr">
        <is>
          <t>Numeric target TBD unless approved.</t>
        </is>
      </c>
      <c r="R42" s="94" t="inlineStr">
        <is>
          <t>Погоджені витрати на поїздки / польову роботу / очну зустріч</t>
        </is>
      </c>
    </row>
    <row r="43" ht="48" customHeight="1">
      <c r="A43" s="94" t="inlineStr">
        <is>
          <t>REUSE-ALLOC</t>
        </is>
      </c>
      <c r="B43" s="94" t="inlineStr">
        <is>
          <t>Internal allocation</t>
        </is>
      </c>
      <c r="C43" s="94" t="inlineStr">
        <is>
          <t>Graph/search reuse — conditional internal allocation after partner agreement; not a client fee</t>
        </is>
      </c>
      <c r="D43" s="94" t="inlineStr">
        <is>
          <t>Internal partner allocation</t>
        </is>
      </c>
      <c r="E43" s="94" t="inlineStr">
        <is>
          <t>demo</t>
        </is>
      </c>
      <c r="F43" s="110" t="n"/>
      <c r="G43" s="110" t="n"/>
      <c r="H43" s="110" t="n"/>
      <c r="I43" s="94" t="inlineStr">
        <is>
          <t>contract currency/module</t>
        </is>
      </c>
      <c r="J43" s="94" t="n"/>
      <c r="K43" s="108">
        <f>IF(OR(Inputs!$B$16="",Inputs!$B$30=""),"TBD",Inputs!$B$30)</f>
        <v/>
      </c>
      <c r="L43" s="108">
        <f>IF(OR(Inputs!$B$16="",Inputs!$B$30=""),"TBD",Inputs!$B$30)</f>
        <v/>
      </c>
      <c r="M43" s="108">
        <f>IF(OR(Inputs!$B$16="",Inputs!$B$30=""),"TBD",Inputs!$B$30)</f>
        <v/>
      </c>
      <c r="N43" s="101" t="inlineStr">
        <is>
          <t>Internal allocation</t>
        </is>
      </c>
      <c r="O43" s="94" t="inlineStr">
        <is>
          <t>Inputs!B30; only if reused. Not additive or double-counted.</t>
        </is>
      </c>
      <c r="P43" s="94" t="inlineStr">
        <is>
          <t>Reuse boundary/fee agreed; paid after first client payment.</t>
        </is>
      </c>
      <c r="Q43" s="94" t="inlineStr">
        <is>
          <t>Numeric target TBD unless approved.</t>
        </is>
      </c>
      <c r="R43" s="94" t="inlineStr">
        <is>
          <t>Винагорода за повторне використання демо-модуля після першого платежу клієнта</t>
        </is>
      </c>
    </row>
    <row r="45">
      <c r="A45" s="28" t="inlineStr">
        <is>
          <t>Project-wide scenario roll-up — pre-tax, contract currency only / Зведення сценаріїв усього проєкту — до податків, лише у валюті контракту</t>
        </is>
      </c>
    </row>
    <row r="46">
      <c r="A46" s="28" t="inlineStr">
        <is>
          <t>Summary item / Показник</t>
        </is>
      </c>
      <c r="B46" s="28" t="inlineStr">
        <is>
          <t>Low / Низький</t>
        </is>
      </c>
      <c r="C46" s="28" t="inlineStr">
        <is>
          <t>Base / Базовий</t>
        </is>
      </c>
      <c r="D46" s="28" t="inlineStr">
        <is>
          <t>High / Високий</t>
        </is>
      </c>
      <c r="E46" s="28" t="inlineStr">
        <is>
          <t>Interpretation / Тлумачення</t>
        </is>
      </c>
    </row>
    <row r="47" ht="36" customHeight="1">
      <c r="A47" s="94" t="inlineStr">
        <is>
          <t>Track 1 — Strategy, consulting &amp; reports</t>
        </is>
      </c>
      <c r="B47" s="94" t="n"/>
      <c r="C47" s="94" t="n"/>
      <c r="D47" s="94" t="n"/>
      <c r="E47" s="94" t="inlineStr">
        <is>
          <t>Core partner work; T&amp;I prep remains conditional.</t>
        </is>
      </c>
      <c r="K47" s="103">
        <f>IF(COUNTIFS($B$7:$B$43,"Track 1",$N$7:$N$43,"Mandatory",$K$7:$K$43,"TBD")+COUNTIFS($B$7:$B$43,"Track 1",$N$7:$N$43,"Selected — include",$K$7:$K$43,"TBD")&gt;0,"TBD",SUMIFS($K$7:$K$43,$B$7:$B$43,"Track 1",$N$7:$N$43,"Mandatory")+SUMIFS($K$7:$K$43,$B$7:$B$43,"Track 1",$N$7:$N$43,"Selected — include"))</f>
        <v/>
      </c>
      <c r="L47" s="103">
        <f>IF(COUNTIFS($B$7:$B$43,"Track 1",$N$7:$N$43,"Mandatory",$L$7:$L$43,"TBD")+COUNTIFS($B$7:$B$43,"Track 1",$N$7:$N$43,"Selected — include",$L$7:$L$43,"TBD")&gt;0,"TBD",SUMIFS($L$7:$L$43,$B$7:$B$43,"Track 1",$N$7:$N$43,"Mandatory")+SUMIFS($L$7:$L$43,$B$7:$B$43,"Track 1",$N$7:$N$43,"Selected — include"))</f>
        <v/>
      </c>
      <c r="M47" s="103">
        <f>IF(COUNTIFS($B$7:$B$43,"Track 1",$N$7:$N$43,"Mandatory",$M$7:$M$43,"TBD")+COUNTIFS($B$7:$B$43,"Track 1",$N$7:$N$43,"Selected — include",$M$7:$M$43,"TBD")&gt;0,"TBD",SUMIFS($M$7:$M$43,$B$7:$B$43,"Track 1",$N$7:$N$43,"Mandatory")+SUMIFS($M$7:$M$43,$B$7:$B$43,"Track 1",$N$7:$N$43,"Selected — include"))</f>
        <v/>
      </c>
    </row>
    <row r="48" ht="36" customHeight="1">
      <c r="A48" s="94" t="inlineStr">
        <is>
          <t>Track 2 — Functional integrated application</t>
        </is>
      </c>
      <c r="B48" s="94" t="n"/>
      <c r="C48" s="94" t="n"/>
      <c r="D48" s="94" t="n"/>
      <c r="E48" s="94" t="inlineStr">
        <is>
          <t>Residual build only.</t>
        </is>
      </c>
      <c r="K48" s="103">
        <f>IF(COUNTIFS($B$7:$B$43,"Track 2",$N$7:$N$43,"Mandatory",$K$7:$K$43,"TBD")+COUNTIFS($B$7:$B$43,"Track 2",$N$7:$N$43,"Selected — include",$K$7:$K$43,"TBD")&gt;0,"TBD",SUMIFS($K$7:$K$43,$B$7:$B$43,"Track 2",$N$7:$N$43,"Mandatory")+SUMIFS($K$7:$K$43,$B$7:$B$43,"Track 2",$N$7:$N$43,"Selected — include"))</f>
        <v/>
      </c>
      <c r="L48" s="103">
        <f>IF(COUNTIFS($B$7:$B$43,"Track 2",$N$7:$N$43,"Mandatory",$L$7:$L$43,"TBD")+COUNTIFS($B$7:$B$43,"Track 2",$N$7:$N$43,"Selected — include",$L$7:$L$43,"TBD")&gt;0,"TBD",SUMIFS($L$7:$L$43,$B$7:$B$43,"Track 2",$N$7:$N$43,"Mandatory")+SUMIFS($L$7:$L$43,$B$7:$B$43,"Track 2",$N$7:$N$43,"Selected — include"))</f>
        <v/>
      </c>
      <c r="M48" s="103">
        <f>IF(COUNTIFS($B$7:$B$43,"Track 2",$N$7:$N$43,"Mandatory",$M$7:$M$43,"TBD")+COUNTIFS($B$7:$B$43,"Track 2",$N$7:$N$43,"Selected — include",$M$7:$M$43,"TBD")&gt;0,"TBD",SUMIFS($M$7:$M$43,$B$7:$B$43,"Track 2",$N$7:$N$43,"Mandatory")+SUMIFS($M$7:$M$43,$B$7:$B$43,"Track 2",$N$7:$N$43,"Selected — include"))</f>
        <v/>
      </c>
    </row>
    <row r="49" ht="36" customHeight="1">
      <c r="A49" s="94" t="inlineStr">
        <is>
          <t>Track 3 — Analytics, data &amp; knowledge</t>
        </is>
      </c>
      <c r="B49" s="94" t="n"/>
      <c r="C49" s="94" t="n"/>
      <c r="D49" s="94" t="n"/>
      <c r="E49" s="94" t="inlineStr">
        <is>
          <t>Analyst/vendor work; dossier pilot separate.</t>
        </is>
      </c>
      <c r="K49" s="103">
        <f>IF(COUNTIFS($B$7:$B$43,"Track 3",$N$7:$N$43,"Mandatory",$K$7:$K$43,"TBD")+COUNTIFS($B$7:$B$43,"Track 3",$N$7:$N$43,"Selected — include",$K$7:$K$43,"TBD")&gt;0,"TBD",SUMIFS($K$7:$K$43,$B$7:$B$43,"Track 3",$N$7:$N$43,"Mandatory")+SUMIFS($K$7:$K$43,$B$7:$B$43,"Track 3",$N$7:$N$43,"Selected — include"))</f>
        <v/>
      </c>
      <c r="L49" s="103">
        <f>IF(COUNTIFS($B$7:$B$43,"Track 3",$N$7:$N$43,"Mandatory",$L$7:$L$43,"TBD")+COUNTIFS($B$7:$B$43,"Track 3",$N$7:$N$43,"Selected — include",$L$7:$L$43,"TBD")&gt;0,"TBD",SUMIFS($L$7:$L$43,$B$7:$B$43,"Track 3",$N$7:$N$43,"Mandatory")+SUMIFS($L$7:$L$43,$B$7:$B$43,"Track 3",$N$7:$N$43,"Selected — include"))</f>
        <v/>
      </c>
      <c r="M49" s="103">
        <f>IF(COUNTIFS($B$7:$B$43,"Track 3",$N$7:$N$43,"Mandatory",$M$7:$M$43,"TBD")+COUNTIFS($B$7:$B$43,"Track 3",$N$7:$N$43,"Selected — include",$M$7:$M$43,"TBD")&gt;0,"TBD",SUMIFS($M$7:$M$43,$B$7:$B$43,"Track 3",$N$7:$N$43,"Mandatory")+SUMIFS($M$7:$M$43,$B$7:$B$43,"Track 3",$N$7:$N$43,"Selected — include"))</f>
        <v/>
      </c>
    </row>
    <row r="50" ht="36" customHeight="1">
      <c r="A50" s="94" t="inlineStr">
        <is>
          <t>Track 4 — Communications, publications &amp; events</t>
        </is>
      </c>
      <c r="B50" s="94" t="n"/>
      <c r="C50" s="94" t="n"/>
      <c r="D50" s="94" t="n"/>
      <c r="E50" s="94" t="inlineStr">
        <is>
          <t>Partner work and direct costs.</t>
        </is>
      </c>
      <c r="K50" s="103">
        <f>IF(COUNTIFS($B$7:$B$43,"Track 4",$N$7:$N$43,"Mandatory",$K$7:$K$43,"TBD")+COUNTIFS($B$7:$B$43,"Track 4",$N$7:$N$43,"Selected — include",$K$7:$K$43,"TBD")&gt;0,"TBD",SUMIFS($K$7:$K$43,$B$7:$B$43,"Track 4",$N$7:$N$43,"Mandatory")+SUMIFS($K$7:$K$43,$B$7:$B$43,"Track 4",$N$7:$N$43,"Selected — include"))</f>
        <v/>
      </c>
      <c r="L50" s="103">
        <f>IF(COUNTIFS($B$7:$B$43,"Track 4",$N$7:$N$43,"Mandatory",$L$7:$L$43,"TBD")+COUNTIFS($B$7:$B$43,"Track 4",$N$7:$N$43,"Selected — include",$L$7:$L$43,"TBD")&gt;0,"TBD",SUMIFS($L$7:$L$43,$B$7:$B$43,"Track 4",$N$7:$N$43,"Mandatory")+SUMIFS($L$7:$L$43,$B$7:$B$43,"Track 4",$N$7:$N$43,"Selected — include"))</f>
        <v/>
      </c>
      <c r="M50" s="103">
        <f>IF(COUNTIFS($B$7:$B$43,"Track 4",$N$7:$N$43,"Mandatory",$M$7:$M$43,"TBD")+COUNTIFS($B$7:$B$43,"Track 4",$N$7:$N$43,"Selected — include",$M$7:$M$43,"TBD")&gt;0,"TBD",SUMIFS($M$7:$M$43,$B$7:$B$43,"Track 4",$N$7:$N$43,"Mandatory")+SUMIFS($M$7:$M$43,$B$7:$B$43,"Track 4",$N$7:$N$43,"Selected — include"))</f>
        <v/>
      </c>
    </row>
    <row r="51" ht="36" customHeight="1">
      <c r="A51" s="94" t="inlineStr">
        <is>
          <t>Track 4A — Pilot evaluation gate</t>
        </is>
      </c>
      <c r="B51" s="94" t="n"/>
      <c r="C51" s="94" t="n"/>
      <c r="D51" s="94" t="n"/>
      <c r="E51" s="94" t="inlineStr">
        <is>
          <t>Not included until go/no-go scope is decided.</t>
        </is>
      </c>
      <c r="K51" s="103">
        <f>IF(COUNTIFS($B$7:$B$43,"Track 4A",$N$7:$N$43,"Decision required",$K$7:$K$43,"TBD")&gt;0,"TBD",SUMIFS($K$7:$K$43,$B$7:$B$43,"Track 4A",$N$7:$N$43,"Decision required"))</f>
        <v/>
      </c>
      <c r="L51" s="103">
        <f>IF(COUNTIFS($B$7:$B$43,"Track 4A",$N$7:$N$43,"Decision required",$L$7:$L$43,"TBD")&gt;0,"TBD",SUMIFS($L$7:$L$43,$B$7:$B$43,"Track 4A",$N$7:$N$43,"Decision required"))</f>
        <v/>
      </c>
      <c r="M51" s="103">
        <f>IF(COUNTIFS($B$7:$B$43,"Track 4A",$N$7:$N$43,"Decision required",$M$7:$M$43,"TBD")&gt;0,"TBD",SUMIFS($M$7:$M$43,$B$7:$B$43,"Track 4A",$N$7:$N$43,"Decision required"))</f>
        <v/>
      </c>
    </row>
    <row r="52" ht="36" customHeight="1">
      <c r="A52" s="94" t="inlineStr">
        <is>
          <t>Track 5 — Conditional AI/OSINT/chatbot</t>
        </is>
      </c>
      <c r="B52" s="94" t="n"/>
      <c r="C52" s="94" t="n"/>
      <c r="D52" s="94" t="n"/>
      <c r="E52" s="94" t="inlineStr">
        <is>
          <t>Excluded until Track 4A approval.</t>
        </is>
      </c>
      <c r="K52" s="103">
        <f>IF(COUNTIFS($B$7:$B$43,"Track 5",$N$7:$N$43,"Decision required",$K$7:$K$43,"TBD")&gt;0,"TBD",SUMIFS($K$7:$K$43,$B$7:$B$43,"Track 5",$N$7:$N$43,"Decision required"))</f>
        <v/>
      </c>
      <c r="L52" s="103">
        <f>IF(COUNTIFS($B$7:$B$43,"Track 5",$N$7:$N$43,"Decision required",$L$7:$L$43,"TBD")&gt;0,"TBD",SUMIFS($L$7:$L$43,$B$7:$B$43,"Track 5",$N$7:$N$43,"Decision required"))</f>
        <v/>
      </c>
      <c r="M52" s="103">
        <f>IF(COUNTIFS($B$7:$B$43,"Track 5",$N$7:$N$43,"Decision required",$M$7:$M$43,"TBD")&gt;0,"TBD",SUMIFS($M$7:$M$43,$B$7:$B$43,"Track 5",$N$7:$N$43,"Decision required"))</f>
        <v/>
      </c>
    </row>
    <row r="53" ht="36" customHeight="1">
      <c r="A53" s="94" t="inlineStr">
        <is>
          <t>Dossier pilot — possible volume scenarios</t>
        </is>
      </c>
      <c r="B53" s="94" t="n"/>
      <c r="C53" s="94" t="n"/>
      <c r="D53" s="94" t="n"/>
      <c r="E53" s="94" t="inlineStr">
        <is>
          <t>Possible volume only; minutes/API costs need measurement/quote.</t>
        </is>
      </c>
      <c r="K53" s="103">
        <f>IF(COUNTIFS($B$7:$B$43,"Dossier pilot",$N$7:$N$43,"Decision required",$K$7:$K$43,"TBD")&gt;0,"TBD",SUMIFS($K$7:$K$43,$B$7:$B$43,"Dossier pilot",$N$7:$N$43,"Decision required"))</f>
        <v/>
      </c>
      <c r="L53" s="103">
        <f>IF(COUNTIFS($B$7:$B$43,"Dossier pilot",$N$7:$N$43,"Decision required",$L$7:$L$43,"TBD")&gt;0,"TBD",SUMIFS($L$7:$L$43,$B$7:$B$43,"Dossier pilot",$N$7:$N$43,"Decision required"))</f>
        <v/>
      </c>
      <c r="M53" s="103">
        <f>IF(COUNTIFS($B$7:$B$43,"Dossier pilot",$N$7:$N$43,"Decision required",$M$7:$M$43,"TBD")&gt;0,"TBD",SUMIFS($M$7:$M$43,$B$7:$B$43,"Dossier pilot",$N$7:$N$43,"Decision required"))</f>
        <v/>
      </c>
    </row>
    <row r="54" ht="36" customHeight="1">
      <c r="A54" s="94" t="inlineStr">
        <is>
          <t>Post-launch operations and SaaS</t>
        </is>
      </c>
      <c r="B54" s="94" t="n"/>
      <c r="C54" s="94" t="n"/>
      <c r="D54" s="94" t="n"/>
      <c r="E54" s="94" t="inlineStr">
        <is>
          <t>Period/monthly costs not selected.</t>
        </is>
      </c>
      <c r="K54" s="103">
        <f>IF(COUNTIFS($B$7:$B$43,"Post-launch",$N$7:$N$43,"Decision required",$K$7:$K$43,"TBD")&gt;0,"TBD",SUMIFS($K$7:$K$43,$B$7:$B$43,"Post-launch",$N$7:$N$43,"Decision required"))</f>
        <v/>
      </c>
      <c r="L54" s="103">
        <f>IF(COUNTIFS($B$7:$B$43,"Post-launch",$N$7:$N$43,"Decision required",$L$7:$L$43,"TBD")&gt;0,"TBD",SUMIFS($L$7:$L$43,$B$7:$B$43,"Post-launch",$N$7:$N$43,"Decision required"))</f>
        <v/>
      </c>
      <c r="M54" s="103">
        <f>IF(COUNTIFS($B$7:$B$43,"Post-launch",$N$7:$N$43,"Decision required",$M$7:$M$43,"TBD")&gt;0,"TBD",SUMIFS($M$7:$M$43,$B$7:$B$43,"Post-launch",$N$7:$N$43,"Decision required"))</f>
        <v/>
      </c>
    </row>
    <row r="55" ht="36" customHeight="1">
      <c r="A55" s="94" t="inlineStr">
        <is>
          <t>Optional assistant</t>
        </is>
      </c>
      <c r="B55" s="94" t="n"/>
      <c r="C55" s="94" t="n"/>
      <c r="D55" s="94" t="n"/>
      <c r="E55" s="94" t="inlineStr">
        <is>
          <t>Excluded unless selected and estimated.</t>
        </is>
      </c>
      <c r="K55" s="103">
        <f>IF(COUNTIFS($N$7:$N$43,"Optional — excluded",$K$7:$K$43,"TBD")&gt;0,"TBD",SUMIFS($K$7:$K$43,$N$7:$N$43,"Optional — excluded"))</f>
        <v/>
      </c>
      <c r="L55" s="103">
        <f>IF(COUNTIFS($N$7:$N$43,"Optional — excluded",$L$7:$L$43,"TBD")&gt;0,"TBD",SUMIFS($L$7:$L$43,$N$7:$N$43,"Optional — excluded"))</f>
        <v/>
      </c>
      <c r="M55" s="103">
        <f>IF(COUNTIFS($N$7:$N$43,"Optional — excluded",$M$7:$M$43,"TBD")&gt;0,"TBD",SUMIFS($M$7:$M$43,$N$7:$N$43,"Optional — excluded"))</f>
        <v/>
      </c>
    </row>
    <row r="56" ht="36" customHeight="1">
      <c r="A56" s="94" t="inlineStr">
        <is>
          <t>Demo reuse fee — internal allocation</t>
        </is>
      </c>
      <c r="B56" s="94" t="n"/>
      <c r="C56" s="94" t="n"/>
      <c r="D56" s="94" t="n"/>
      <c r="E56" s="94" t="inlineStr">
        <is>
          <t>Not additive; conditional on reuse/first client payment.</t>
        </is>
      </c>
      <c r="K56" s="103">
        <f>IF(COUNTIFS($N$7:$N$43,"Internal allocation",$K$7:$K$43,"TBD")&gt;0,"TBD",SUMIFS($K$7:$K$43,$N$7:$N$43,"Internal allocation"))</f>
        <v/>
      </c>
      <c r="L56" s="103">
        <f>IF(COUNTIFS($N$7:$N$43,"Internal allocation",$L$7:$L$43,"TBD")&gt;0,"TBD",SUMIFS($L$7:$L$43,$N$7:$N$43,"Internal allocation"))</f>
        <v/>
      </c>
      <c r="M56" s="103">
        <f>IF(COUNTIFS($N$7:$N$43,"Internal allocation",$M$7:$M$43,"TBD")&gt;0,"TBD",SUMIFS($M$7:$M$43,$N$7:$N$43,"Internal allocation"))</f>
        <v/>
      </c>
    </row>
    <row r="57" ht="36" customHeight="1">
      <c r="A57" s="94" t="inlineStr">
        <is>
          <t>Selected-scope total — mandatory + selected</t>
        </is>
      </c>
      <c r="B57" s="94" t="n"/>
      <c r="C57" s="94" t="n"/>
      <c r="D57" s="94" t="n"/>
      <c r="E57" s="94" t="inlineStr">
        <is>
          <t>Subtotal excludes unresolved gates; pre-tax.</t>
        </is>
      </c>
      <c r="K57" s="103">
        <f>IF(COUNTIFS($N$7:$N$43,"Mandatory",$K$7:$K$43,"TBD")+COUNTIFS($N$7:$N$43,"Selected — include",$K$7:$K$43,"TBD")&gt;0,"TBD",SUMIFS($K$7:$K$43,$N$7:$N$43,"Mandatory")+SUMIFS($K$7:$K$43,$N$7:$N$43,"Selected — include"))</f>
        <v/>
      </c>
      <c r="L57" s="103">
        <f>IF(COUNTIFS($N$7:$N$43,"Mandatory",$L$7:$L$43,"TBD")+COUNTIFS($N$7:$N$43,"Selected — include",$L$7:$L$43,"TBD")&gt;0,"TBD",SUMIFS($L$7:$L$43,$N$7:$N$43,"Mandatory")+SUMIFS($L$7:$L$43,$N$7:$N$43,"Selected — include"))</f>
        <v/>
      </c>
      <c r="M57" s="103">
        <f>IF(COUNTIFS($N$7:$N$43,"Mandatory",$M$7:$M$43,"TBD")+COUNTIFS($N$7:$N$43,"Selected — include",$M$7:$M$43,"TBD")&gt;0,"TBD",SUMIFS($M$7:$M$43,$N$7:$N$43,"Mandatory")+SUMIFS($M$7:$M$43,$N$7:$N$43,"Selected — include"))</f>
        <v/>
      </c>
    </row>
    <row r="58">
      <c r="A58" t="inlineStr">
        <is>
          <t>Full-project price status</t>
        </is>
      </c>
      <c r="B58" s="104">
        <f>IF(COUNTIF($N$7:$N$43,"Decision required")&gt;0,"TBD — resolve scope gates",IF(COUNTIFS($N$7:$N$43,"Mandatory",$L$7:$L$43,"TBD")+COUNTIFS($N$7:$N$43,"Selected — include",$L$7:$L$43,"TBD")&gt;0,"TBD — required inputs missing","Ready for review"))</f>
        <v/>
      </c>
    </row>
    <row r="59">
      <c r="A59" t="inlineStr">
        <is>
          <t>Lower-bound estimate vs agreed project reference</t>
        </is>
      </c>
      <c r="B59" s="105">
        <f>IF(OR(Inputs!B47="",Inputs!B47&lt;=0,K57="TBD"),"TBD",K57/Inputs!B47-1)</f>
        <v/>
      </c>
      <c r="E59" t="inlineStr">
        <is>
          <t>Formula: (lower-bound whole-project total − agreed reference whole-project total) ÷ agreed reference whole-project total; same scope, currency and period required.</t>
        </is>
      </c>
    </row>
    <row r="60">
      <c r="A60" t="inlineStr">
        <is>
          <t>Upper-bound estimate vs agreed project reference</t>
        </is>
      </c>
      <c r="B60" s="105">
        <f>IF(OR(Inputs!B47="",Inputs!B47&lt;=0,M57="TBD"),"TBD",M57/Inputs!B47-1)</f>
        <v/>
      </c>
      <c r="E60" t="inlineStr">
        <is>
          <t>Formula: (upper-bound whole-project total − agreed reference whole-project total) ÷ agreed reference whole-project total; same scope, currency and period required.</t>
        </is>
      </c>
    </row>
  </sheetData>
  <autoFilter ref="A6:R43"/>
  <mergeCells count="7">
    <mergeCell ref="A3:Q3"/>
    <mergeCell ref="B58:E58"/>
    <mergeCell ref="A4:Q4"/>
    <mergeCell ref="A2:Q2"/>
    <mergeCell ref="A45:E45"/>
    <mergeCell ref="A1:Q1"/>
    <mergeCell ref="A5:Q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H18"/>
  <sheetViews>
    <sheetView showGridLines="0" tabSelected="0" zoomScale="90" workbookViewId="0">
      <pane ySplit="4" topLeftCell="A5" activePane="bottomLeft" state="frozen"/>
      <selection pane="bottomLeft" activeCell="A1" sqref="A1"/>
    </sheetView>
  </sheetViews>
  <sheetFormatPr baseColWidth="8" defaultRowHeight="15"/>
  <cols>
    <col width="13" customWidth="1" min="1" max="1"/>
    <col width="38" customWidth="1" min="2" max="2"/>
    <col width="82" customWidth="1" min="3" max="3"/>
    <col width="36" customWidth="1" min="4" max="4"/>
    <col width="17" customWidth="1" min="5" max="5"/>
    <col width="17" customWidth="1" min="6" max="6"/>
    <col width="17" customWidth="1" min="7" max="7"/>
    <col width="57" customWidth="1" min="8" max="8"/>
  </cols>
  <sheetData>
    <row r="1" ht="28" customHeight="1">
      <c r="A1" s="1" t="inlineStr">
        <is>
          <t>Historical greenfield fixed-core packages — earlier scope only</t>
        </is>
      </c>
    </row>
    <row r="2" ht="32" customHeight="1">
      <c r="A2" s="43" t="inlineStr">
        <is>
          <t>HISTORICAL REFERENCE: These Low/Base/High packages are not an estimate for the revised workflow. Do not use their totals as the current client budget or subtract unverified reuse hours.</t>
        </is>
      </c>
    </row>
    <row r="4" ht="32" customHeight="1">
      <c r="A4" s="4" t="inlineStr">
        <is>
          <t>WBS ID</t>
        </is>
      </c>
      <c r="B4" s="4" t="inlineStr">
        <is>
          <t>Work package</t>
        </is>
      </c>
      <c r="C4" s="4" t="inlineStr">
        <is>
          <t>Included scope / completion outcome</t>
        </is>
      </c>
      <c r="D4" s="4" t="inlineStr">
        <is>
          <t>Dependencies</t>
        </is>
      </c>
      <c r="E4" s="4" t="inlineStr">
        <is>
          <t>Low person-hours</t>
        </is>
      </c>
      <c r="F4" s="4" t="inlineStr">
        <is>
          <t>Base person-hours</t>
        </is>
      </c>
      <c r="G4" s="4" t="inlineStr">
        <is>
          <t>High person-hours</t>
        </is>
      </c>
      <c r="H4" s="4" t="inlineStr">
        <is>
          <t>Status / source locator</t>
        </is>
      </c>
    </row>
    <row r="5" ht="63" customHeight="1">
      <c r="A5" s="6" t="inlineStr">
        <is>
          <t>CORE-01</t>
        </is>
      </c>
      <c r="B5" s="6" t="inlineStr">
        <is>
          <t>Discovery, product and security architecture</t>
        </is>
      </c>
      <c r="C5" s="6" t="inlineStr">
        <is>
          <t>Define user journeys, role/access matrix, domain model, acceptance scenarios, privacy rules and architecture decision record. Output: reviewed implementation backlog and unresolved-decision register.</t>
        </is>
      </c>
      <c r="D5" s="6" t="inlineStr">
        <is>
          <t>—</t>
        </is>
      </c>
      <c r="E5" s="10" t="n">
        <v>120</v>
      </c>
      <c r="F5" s="10" t="n">
        <v>160</v>
      </c>
      <c r="G5" s="10" t="n">
        <v>220</v>
      </c>
      <c r="H5" s="6" t="inlineStr">
        <is>
          <t>[ASSUMPTION]; source Pricing Model &gt; Core Estimate, row 7.</t>
        </is>
      </c>
    </row>
    <row r="6" ht="63" customHeight="1">
      <c r="A6" s="6" t="inlineStr">
        <is>
          <t>CORE-02</t>
        </is>
      </c>
      <c r="B6" s="6" t="inlineStr">
        <is>
          <t>UX, design system and accessible responsive UI</t>
        </is>
      </c>
      <c r="C6" s="6" t="inlineStr">
        <is>
          <t>Design one-page network workspace, explicit mode/layer states, stacked panels, responsive touch layout, keyboard operation and bilingual UI.</t>
        </is>
      </c>
      <c r="D6" s="6" t="inlineStr">
        <is>
          <t>CORE-01</t>
        </is>
      </c>
      <c r="E6" s="10" t="n">
        <v>100</v>
      </c>
      <c r="F6" s="10" t="n">
        <v>140</v>
      </c>
      <c r="G6" s="10" t="n">
        <v>190</v>
      </c>
      <c r="H6" s="6" t="inlineStr">
        <is>
          <t>[ASSUMPTION]; source Pricing Model &gt; Core Estimate, row 8.</t>
        </is>
      </c>
    </row>
    <row r="7" ht="63" customHeight="1">
      <c r="A7" s="6" t="inlineStr">
        <is>
          <t>CORE-03</t>
        </is>
      </c>
      <c r="B7" s="6" t="inlineStr">
        <is>
          <t>Identity, authorization, consent and audit foundation</t>
        </is>
      </c>
      <c r="C7" s="6" t="inlineStr">
        <is>
          <t>Implement managed sign-in, role/scope checks, guest/member/operator/admin access, profile visibility/consent, contact separation and audit events.</t>
        </is>
      </c>
      <c r="D7" s="6" t="inlineStr">
        <is>
          <t>CORE-01</t>
        </is>
      </c>
      <c r="E7" s="10" t="n">
        <v>180</v>
      </c>
      <c r="F7" s="10" t="n">
        <v>240</v>
      </c>
      <c r="G7" s="10" t="n">
        <v>330</v>
      </c>
      <c r="H7" s="6" t="inlineStr">
        <is>
          <t>[ASSUMPTION]; source Pricing Model &gt; Core Estimate, row 9.</t>
        </is>
      </c>
    </row>
    <row r="8" ht="63" customHeight="1">
      <c r="A8" s="6" t="inlineStr">
        <is>
          <t>CORE-04</t>
        </is>
      </c>
      <c r="B8" s="6" t="inlineStr">
        <is>
          <t>Live data model and operator workspace</t>
        </is>
      </c>
      <c r="C8" s="6" t="inlineStr">
        <is>
          <t>Build schema, migrations, validation/import staging, provenance, deduplication review, correction workflow, operator queues and live graph APIs. Use synthetic/de-identified data until rights are approved.</t>
        </is>
      </c>
      <c r="D8" s="6" t="inlineStr">
        <is>
          <t>CORE-01, CORE-03</t>
        </is>
      </c>
      <c r="E8" s="10" t="n">
        <v>180</v>
      </c>
      <c r="F8" s="10" t="n">
        <v>260</v>
      </c>
      <c r="G8" s="10" t="n">
        <v>380</v>
      </c>
      <c r="H8" s="6" t="inlineStr">
        <is>
          <t>[ASSUMPTION]; source Pricing Model &gt; Core Estimate, row 10.</t>
        </is>
      </c>
    </row>
    <row r="9" ht="63" customHeight="1">
      <c r="A9" s="6" t="inlineStr">
        <is>
          <t>CORE-05</t>
        </is>
      </c>
      <c r="B9" s="6" t="inlineStr">
        <is>
          <t>Expert profiles and evidence-backed verification</t>
        </is>
      </c>
      <c r="C9" s="6" t="inlineStr">
        <is>
          <t>Implement profiles, evidence source/date/reviewer, verification states, provenance, corrections, appeal/review workflow and disclosure rules. No composite Trust/Influence score.</t>
        </is>
      </c>
      <c r="D9" s="6" t="inlineStr">
        <is>
          <t>CORE-03, CORE-04</t>
        </is>
      </c>
      <c r="E9" s="10" t="n">
        <v>200</v>
      </c>
      <c r="F9" s="10" t="n">
        <v>290</v>
      </c>
      <c r="G9" s="10" t="n">
        <v>420</v>
      </c>
      <c r="H9" s="6" t="inlineStr">
        <is>
          <t>[ASSUMPTION]; source Pricing Model &gt; Core Estimate, row 11.</t>
        </is>
      </c>
    </row>
    <row r="10" ht="63" customHeight="1">
      <c r="A10" s="6" t="inlineStr">
        <is>
          <t>CORE-06</t>
        </is>
      </c>
      <c r="B10" s="6" t="inlineStr">
        <is>
          <t>Expert search, filters and layered network graph</t>
        </is>
      </c>
      <c r="C10" s="6" t="inlineStr">
        <is>
          <t>Implement searchable profiles, sector/geography/topic filters, expert and feature layers, layer toggles, dependencies view, graph-to-dossier navigation and text-accessible equivalent.</t>
        </is>
      </c>
      <c r="D10" s="6" t="inlineStr">
        <is>
          <t>CORE-02, CORE-04, CORE-05</t>
        </is>
      </c>
      <c r="E10" s="10" t="n">
        <v>180</v>
      </c>
      <c r="F10" s="10" t="n">
        <v>260</v>
      </c>
      <c r="G10" s="10" t="n">
        <v>380</v>
      </c>
      <c r="H10" s="6" t="inlineStr">
        <is>
          <t>[ASSUMPTION]; source Pricing Model &gt; Core Estimate, row 12.</t>
        </is>
      </c>
    </row>
    <row r="11" ht="63" customHeight="1">
      <c r="A11" s="6" t="inlineStr">
        <is>
          <t>CORE-07</t>
        </is>
      </c>
      <c r="B11" s="6" t="inlineStr">
        <is>
          <t>Community collaboration and basic events</t>
        </is>
      </c>
      <c r="C11" s="6" t="inlineStr">
        <is>
          <t>Implement groups, member feed/posts, comments, shared resources, basic opportunities, event notices, moderation, delegated group administration and transactional email. No complex PM or E2EE.</t>
        </is>
      </c>
      <c r="D11" s="6" t="inlineStr">
        <is>
          <t>CORE-02, CORE-03, CORE-04</t>
        </is>
      </c>
      <c r="E11" s="10" t="n">
        <v>220</v>
      </c>
      <c r="F11" s="10" t="n">
        <v>320</v>
      </c>
      <c r="G11" s="10" t="n">
        <v>470</v>
      </c>
      <c r="H11" s="6" t="inlineStr">
        <is>
          <t>[ASSUMPTION]; source Pricing Model &gt; Core Estimate, row 13.</t>
        </is>
      </c>
    </row>
    <row r="12" ht="63" customHeight="1">
      <c r="A12" s="6" t="inlineStr">
        <is>
          <t>CORE-08</t>
        </is>
      </c>
      <c r="B12" s="6" t="inlineStr">
        <is>
          <t>Expert intake, recruitment and onboarding</t>
        </is>
      </c>
      <c r="C12" s="6" t="inlineStr">
        <is>
          <t>Implement consent-aware intake, campaign records, source tracking, candidate triage, human-reviewed verification handoff, onboarding and membership status. No autonomous AI decisions or social-platform automation.</t>
        </is>
      </c>
      <c r="D12" s="6" t="inlineStr">
        <is>
          <t>CORE-03, CORE-04, CORE-05, CORE-07</t>
        </is>
      </c>
      <c r="E12" s="10" t="n">
        <v>160</v>
      </c>
      <c r="F12" s="10" t="n">
        <v>240</v>
      </c>
      <c r="G12" s="10" t="n">
        <v>360</v>
      </c>
      <c r="H12" s="6" t="inlineStr">
        <is>
          <t>[ASSUMPTION]; source Pricing Model &gt; Core Estimate, row 14.</t>
        </is>
      </c>
    </row>
    <row r="13" ht="63" customHeight="1">
      <c r="A13" s="6" t="inlineStr">
        <is>
          <t>CORE-09</t>
        </is>
      </c>
      <c r="B13" s="6" t="inlineStr">
        <is>
          <t>Engagement operations and basic health analytics</t>
        </is>
      </c>
      <c r="C13" s="6" t="inlineStr">
        <is>
          <t>Implement group-owner tools, activity/participation measures, dormant-group signals, re-engagement tasks and basic role assignment workflow. No ranking or automatic privilege elevation.</t>
        </is>
      </c>
      <c r="D13" s="6" t="inlineStr">
        <is>
          <t>CORE-03, CORE-07, CORE-08</t>
        </is>
      </c>
      <c r="E13" s="10" t="n">
        <v>140</v>
      </c>
      <c r="F13" s="10" t="n">
        <v>210</v>
      </c>
      <c r="G13" s="10" t="n">
        <v>320</v>
      </c>
      <c r="H13" s="6" t="inlineStr">
        <is>
          <t>[ASSUMPTION]; source Pricing Model &gt; Core Estimate, row 15.</t>
        </is>
      </c>
    </row>
    <row r="14" ht="63" customHeight="1">
      <c r="A14" s="6" t="inlineStr">
        <is>
          <t>CORE-10</t>
        </is>
      </c>
      <c r="B14" s="6" t="inlineStr">
        <is>
          <t>Security hardening and privacy verification</t>
        </is>
      </c>
      <c r="C14" s="6" t="inlineStr">
        <is>
          <t>Threat-model core flows, verify authorization and minimization, configure secrets/encryption/secure defaults, test access/audit paths, prepare incident and retention controls.</t>
        </is>
      </c>
      <c r="D14" s="6" t="inlineStr">
        <is>
          <t>CORE-03, CORE-04, CORE-05, CORE-07, CORE-08, CORE-09</t>
        </is>
      </c>
      <c r="E14" s="10" t="n">
        <v>80</v>
      </c>
      <c r="F14" s="10" t="n">
        <v>120</v>
      </c>
      <c r="G14" s="10" t="n">
        <v>180</v>
      </c>
      <c r="H14" s="6" t="inlineStr">
        <is>
          <t>[ASSUMPTION]; source Pricing Model &gt; Core Estimate, row 16.</t>
        </is>
      </c>
    </row>
    <row r="15" ht="63" customHeight="1">
      <c r="A15" s="6" t="inlineStr">
        <is>
          <t>CORE-11</t>
        </is>
      </c>
      <c r="B15" s="6" t="inlineStr">
        <is>
          <t>Quality assurance, accessibility and acceptance testing</t>
        </is>
      </c>
      <c r="C15" s="6" t="inlineStr">
        <is>
          <t>Test role/data isolation, imports, graph interactions, workflows, failure paths, mobile/touch/keyboard and bilingual presentation; prepare acceptance scripts and regression coverage.</t>
        </is>
      </c>
      <c r="D15" s="6" t="inlineStr">
        <is>
          <t>CORE-02 through CORE-10</t>
        </is>
      </c>
      <c r="E15" s="10" t="n">
        <v>180</v>
      </c>
      <c r="F15" s="10" t="n">
        <v>270</v>
      </c>
      <c r="G15" s="10" t="n">
        <v>400</v>
      </c>
      <c r="H15" s="6" t="inlineStr">
        <is>
          <t>[ASSUMPTION]; source Pricing Model &gt; Core Estimate, row 17.</t>
        </is>
      </c>
    </row>
    <row r="16" ht="63" customHeight="1">
      <c r="A16" s="6" t="inlineStr">
        <is>
          <t>CORE-12</t>
        </is>
      </c>
      <c r="B16" s="6" t="inlineStr">
        <is>
          <t>Deployment, observability, backup and operational handover</t>
        </is>
      </c>
      <c r="C16" s="6" t="inlineStr">
        <is>
          <t>Create environments, CI/CD, monitoring/error logs, backup/restore checks, operational runbook and release handover.</t>
        </is>
      </c>
      <c r="D16" s="6" t="inlineStr">
        <is>
          <t>CORE-03, CORE-04, CORE-10, CORE-11</t>
        </is>
      </c>
      <c r="E16" s="10" t="n">
        <v>100</v>
      </c>
      <c r="F16" s="10" t="n">
        <v>150</v>
      </c>
      <c r="G16" s="10" t="n">
        <v>230</v>
      </c>
      <c r="H16" s="6" t="inlineStr">
        <is>
          <t>[ASSUMPTION]; source Pricing Model &gt; Core Estimate, row 18.</t>
        </is>
      </c>
    </row>
    <row r="17" ht="63" customHeight="1">
      <c r="A17" s="6" t="inlineStr">
        <is>
          <t>CORE-13</t>
        </is>
      </c>
      <c r="B17" s="6" t="inlineStr">
        <is>
          <t>Delivery management and client acceptance</t>
        </is>
      </c>
      <c r="C17" s="6" t="inlineStr">
        <is>
          <t>Coordinate dependencies, decisions, demonstrations, review cycles, issue triage, scope control and handover documentation through acceptance.</t>
        </is>
      </c>
      <c r="D17" s="6" t="inlineStr">
        <is>
          <t>CORE-01 through CORE-12</t>
        </is>
      </c>
      <c r="E17" s="10" t="n">
        <v>100</v>
      </c>
      <c r="F17" s="10" t="n">
        <v>150</v>
      </c>
      <c r="G17" s="10" t="n">
        <v>240</v>
      </c>
      <c r="H17" s="6" t="inlineStr">
        <is>
          <t>[ASSUMPTION]; source Pricing Model &gt; Core Estimate, row 19.</t>
        </is>
      </c>
    </row>
    <row r="18">
      <c r="A18" s="11" t="inlineStr">
        <is>
          <t>TOTAL — fixed core</t>
        </is>
      </c>
      <c r="B18" s="12" t="n"/>
      <c r="C18" s="12" t="n"/>
      <c r="D18" s="12" t="n"/>
      <c r="E18" s="13">
        <f>SUM(E5:E17)</f>
        <v/>
      </c>
      <c r="F18" s="13">
        <f>SUM(F5:F17)</f>
        <v/>
      </c>
      <c r="G18" s="13">
        <f>SUM(G5:G17)</f>
        <v/>
      </c>
      <c r="H18" s="11" t="inlineStr">
        <is>
          <t>Formula totals of assumption inputs; source workbook Core Estimate rows 7–19.</t>
        </is>
      </c>
    </row>
  </sheetData>
  <autoFilter ref="A4:H17"/>
  <mergeCells count="2">
    <mergeCell ref="A2:H2"/>
    <mergeCell ref="A1:H1"/>
  </mergeCell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49"/>
  <sheetViews>
    <sheetView showGridLines="0" tabSelected="0" zoomScale="90" workbookViewId="0">
      <pane ySplit="4" topLeftCell="A5" activePane="bottomLeft" state="frozen"/>
      <selection pane="bottomLeft" activeCell="A1" sqref="A1"/>
    </sheetView>
  </sheetViews>
  <sheetFormatPr baseColWidth="8" defaultRowHeight="15"/>
  <cols>
    <col width="56" customWidth="1" min="1" max="1"/>
    <col width="19" customWidth="1" min="2" max="2"/>
    <col width="18" customWidth="1" min="3" max="3"/>
    <col width="18" customWidth="1" min="4" max="4"/>
    <col width="25" customWidth="1" min="5" max="5"/>
    <col width="25" customWidth="1" min="6" max="6"/>
    <col width="16" customWidth="1" min="7" max="7"/>
    <col width="16" customWidth="1" min="8" max="8"/>
    <col width="23" customWidth="1" min="9" max="9"/>
    <col width="23" customWidth="1" min="10" max="10"/>
  </cols>
  <sheetData>
    <row r="1" ht="28" customHeight="1">
      <c r="A1" s="1" t="inlineStr">
        <is>
          <t>Historical greenfield sensitivity, allocation checks and residual economics</t>
        </is>
      </c>
    </row>
    <row r="2" ht="30" customHeight="1">
      <c r="A2" s="43" t="inlineStr">
        <is>
          <t>HISTORICAL REFERENCE ONLY — rate sensitivities below use the earlier 13-package Low/Base/High estimate; they are not a revised-scope quote or current client price.</t>
        </is>
      </c>
    </row>
    <row r="3">
      <c r="A3" s="14" t="inlineStr">
        <is>
          <t>A. Historical published-rate sensitivity — not a revised-scope proposal price</t>
        </is>
      </c>
    </row>
    <row r="4" ht="32" customHeight="1">
      <c r="A4" s="4" t="inlineStr">
        <is>
          <t>Effort case</t>
        </is>
      </c>
      <c r="B4" s="4" t="inlineStr">
        <is>
          <t>Person-hours</t>
        </is>
      </c>
      <c r="C4" s="4" t="inlineStr">
        <is>
          <t>Ukraine low ($/h)</t>
        </is>
      </c>
      <c r="D4" s="4" t="inlineStr">
        <is>
          <t>Ukraine high ($/h)</t>
        </is>
      </c>
      <c r="E4" s="4" t="inlineStr">
        <is>
          <t>Ukraine low sensitivity (USD)</t>
        </is>
      </c>
      <c r="F4" s="4" t="inlineStr">
        <is>
          <t>Ukraine high sensitivity (USD)</t>
        </is>
      </c>
      <c r="G4" s="4" t="inlineStr">
        <is>
          <t>US low ($/h)</t>
        </is>
      </c>
      <c r="H4" s="4" t="inlineStr">
        <is>
          <t>US high ($/h)</t>
        </is>
      </c>
      <c r="I4" s="4" t="inlineStr">
        <is>
          <t>US low sensitivity (USD)</t>
        </is>
      </c>
      <c r="J4" s="4" t="inlineStr">
        <is>
          <t>US high sensitivity (USD)</t>
        </is>
      </c>
    </row>
    <row r="5">
      <c r="A5" s="6" t="inlineStr">
        <is>
          <t>Low</t>
        </is>
      </c>
      <c r="B5" s="15">
        <f>Work_Packages!E18</f>
        <v/>
      </c>
      <c r="C5" s="15">
        <f>Inputs!B4</f>
        <v/>
      </c>
      <c r="D5" s="15">
        <f>Inputs!B5</f>
        <v/>
      </c>
      <c r="E5" s="16">
        <f>B5*C5</f>
        <v/>
      </c>
      <c r="F5" s="16">
        <f>B5*D5</f>
        <v/>
      </c>
      <c r="G5" s="15">
        <f>Inputs!B6</f>
        <v/>
      </c>
      <c r="H5" s="15">
        <f>Inputs!B7</f>
        <v/>
      </c>
      <c r="I5" s="16">
        <f>B5*G5</f>
        <v/>
      </c>
      <c r="J5" s="16">
        <f>B5*H5</f>
        <v/>
      </c>
    </row>
    <row r="6">
      <c r="A6" s="6" t="inlineStr">
        <is>
          <t>Base</t>
        </is>
      </c>
      <c r="B6" s="15">
        <f>Work_Packages!F18</f>
        <v/>
      </c>
      <c r="C6" s="15">
        <f>Inputs!B4</f>
        <v/>
      </c>
      <c r="D6" s="15">
        <f>Inputs!B5</f>
        <v/>
      </c>
      <c r="E6" s="16">
        <f>B6*C6</f>
        <v/>
      </c>
      <c r="F6" s="16">
        <f>B6*D6</f>
        <v/>
      </c>
      <c r="G6" s="15">
        <f>Inputs!B6</f>
        <v/>
      </c>
      <c r="H6" s="15">
        <f>Inputs!B7</f>
        <v/>
      </c>
      <c r="I6" s="16">
        <f>B6*G6</f>
        <v/>
      </c>
      <c r="J6" s="16">
        <f>B6*H6</f>
        <v/>
      </c>
    </row>
    <row r="7">
      <c r="A7" s="6" t="inlineStr">
        <is>
          <t>High</t>
        </is>
      </c>
      <c r="B7" s="15">
        <f>Work_Packages!G18</f>
        <v/>
      </c>
      <c r="C7" s="15">
        <f>Inputs!B4</f>
        <v/>
      </c>
      <c r="D7" s="15">
        <f>Inputs!B5</f>
        <v/>
      </c>
      <c r="E7" s="16">
        <f>B7*C7</f>
        <v/>
      </c>
      <c r="F7" s="16">
        <f>B7*D7</f>
        <v/>
      </c>
      <c r="G7" s="15">
        <f>Inputs!B6</f>
        <v/>
      </c>
      <c r="H7" s="15">
        <f>Inputs!B7</f>
        <v/>
      </c>
      <c r="I7" s="16">
        <f>B7*G7</f>
        <v/>
      </c>
      <c r="J7" s="16">
        <f>B7*H7</f>
        <v/>
      </c>
    </row>
    <row r="8">
      <c r="A8" s="6" t="n"/>
      <c r="B8" s="6" t="n"/>
      <c r="C8" s="6" t="n"/>
      <c r="D8" s="6" t="n"/>
      <c r="E8" s="6" t="n"/>
      <c r="F8" s="6" t="n"/>
      <c r="G8" s="6" t="n"/>
      <c r="H8" s="6" t="n"/>
      <c r="I8" s="6" t="n"/>
      <c r="J8" s="6" t="n"/>
    </row>
    <row r="9">
      <c r="A9" s="5" t="inlineStr">
        <is>
          <t>Interpretation</t>
        </is>
      </c>
      <c r="B9" s="8" t="inlineStr">
        <is>
          <t>Formula: assumed person-hours × published provider rate endpoint. These figures omit confirmed partner fees, selected implementation location, taxes, contingency, FX, hosting, licences, AI usage, recurring support, and profit. They are sensitivity examples, not a complete project budget.</t>
        </is>
      </c>
    </row>
    <row r="10"/>
    <row r="12">
      <c r="A12" s="14" t="inlineStr">
        <is>
          <t>B. Target allocation ranges — do not sum endpoints as a final budget</t>
        </is>
      </c>
    </row>
    <row r="13">
      <c r="A13" s="6" t="inlineStr">
        <is>
          <t>Contract currency and total budget</t>
        </is>
      </c>
      <c r="B13" s="15">
        <f>IF(OR(Inputs!B16="",Inputs!B17=""),"TBD",Inputs!B16&amp;" "&amp;TEXT(Inputs!B17,"0.00"))</f>
        <v/>
      </c>
      <c r="D13" s="20" t="inlineStr">
        <is>
          <t>Selected developer share within target band</t>
        </is>
      </c>
      <c r="E13" s="21">
        <f>IF(Inputs!B25="","TBD",IF(OR(Inputs!B25&lt;Inputs!B8,Inputs!B25&gt;Inputs!B9),"OUTSIDE TARGET","WITHIN TARGET"))</f>
        <v/>
      </c>
    </row>
    <row r="14">
      <c r="A14" s="6" t="inlineStr">
        <is>
          <t>Developer target — lower</t>
        </is>
      </c>
      <c r="B14" s="15">
        <f>IF(OR(Inputs!B16="",Inputs!B17=""),"TBD",Inputs!B17*Inputs!B8)</f>
        <v/>
      </c>
      <c r="D14" s="20" t="inlineStr">
        <is>
          <t>Selected operations share within target band</t>
        </is>
      </c>
      <c r="E14" s="21">
        <f>IF(Inputs!B26="","TBD",IF(OR(Inputs!B26&lt;Inputs!B10,Inputs!B26&gt;Inputs!B11),"OUTSIDE TARGET","WITHIN TARGET"))</f>
        <v/>
      </c>
    </row>
    <row r="15">
      <c r="A15" s="6" t="inlineStr">
        <is>
          <t>Developer target — upper</t>
        </is>
      </c>
      <c r="B15" s="15">
        <f>IF(OR(Inputs!B16="",Inputs!B17=""),"TBD",Inputs!B17*Inputs!B9)</f>
        <v/>
      </c>
      <c r="D15" s="20" t="inlineStr">
        <is>
          <t>Combined minimum target share</t>
        </is>
      </c>
      <c r="E15" s="22">
        <f>Inputs!B8+Inputs!B10</f>
        <v/>
      </c>
    </row>
    <row r="16">
      <c r="A16" s="6" t="inlineStr">
        <is>
          <t>Core team / admin / relationships / representation — lower</t>
        </is>
      </c>
      <c r="B16" s="15">
        <f>IF(OR(Inputs!B16="",Inputs!B17=""),"TBD",Inputs!B17*Inputs!B10)</f>
        <v/>
      </c>
      <c r="D16" s="20" t="inlineStr">
        <is>
          <t>Combined maximum target share</t>
        </is>
      </c>
      <c r="E16" s="22">
        <f>Inputs!B9+Inputs!B11</f>
        <v/>
      </c>
    </row>
    <row r="17">
      <c r="A17" s="6" t="inlineStr">
        <is>
          <t>Core team / admin / relationships / representation — upper</t>
        </is>
      </c>
      <c r="B17" s="15">
        <f>IF(OR(Inputs!B16="",Inputs!B17=""),"TBD",Inputs!B17*Inputs!B11)</f>
        <v/>
      </c>
      <c r="D17" s="20" t="inlineStr">
        <is>
          <t>Profit/reinvestment ceiling</t>
        </is>
      </c>
      <c r="E17" s="22">
        <f>Inputs!B12</f>
        <v/>
      </c>
    </row>
    <row r="18">
      <c r="A18" s="6" t="inlineStr">
        <is>
          <t>Target-band envelope, both categories at minimum</t>
        </is>
      </c>
      <c r="B18" s="17">
        <f>Inputs!B8+Inputs!B10</f>
        <v/>
      </c>
      <c r="D18" s="23" t="inlineStr">
        <is>
          <t>Allocation note</t>
        </is>
      </c>
      <c r="E18" s="24" t="inlineStr">
        <is>
          <t>The maximum developer and operations target bands already sum to the full budget. Any profit/reinvestment is only a share of positive residual after verified costs; it is not an extra allocation on top.</t>
        </is>
      </c>
    </row>
    <row r="19">
      <c r="A19" s="6" t="inlineStr">
        <is>
          <t>Target-band envelope, both categories at maximum</t>
        </is>
      </c>
      <c r="B19" s="17">
        <f>Inputs!B9+Inputs!B11</f>
        <v/>
      </c>
    </row>
    <row r="20">
      <c r="A20" s="6" t="inlineStr">
        <is>
          <t>Unallocated share at selected targets (not profit)</t>
        </is>
      </c>
      <c r="B20" s="15">
        <f>IF(OR(Inputs!B25="",Inputs!B26=""),"TBD",IF(Inputs!B25+Inputs!B26&gt;1,"OVER 100%",1-Inputs!B25-Inputs!B26))</f>
        <v/>
      </c>
    </row>
    <row r="21">
      <c r="A21" s="14" t="inlineStr">
        <is>
          <t>C. Actual costs and residual — profit/reinvestment only after verified costs</t>
        </is>
      </c>
    </row>
    <row r="22">
      <c r="A22" s="6" t="inlineStr">
        <is>
          <t>Verified direct-cost subtotal</t>
        </is>
      </c>
      <c r="B22" s="15">
        <f>IF(OR(Inputs!B18="",Inputs!B19="",Inputs!B20="",Inputs!B21="",Inputs!B30=""),"TBD",SUM(Inputs!B18:B21,Inputs!B30))</f>
        <v/>
      </c>
    </row>
    <row r="23">
      <c r="A23" s="6" t="inlineStr">
        <is>
          <t>Residual after verified costs</t>
        </is>
      </c>
      <c r="B23" s="15">
        <f>IF(OR(Inputs!B16="",Inputs!B17="",Inputs!B18="",Inputs!B19="",Inputs!B20="",Inputs!B21="",Inputs!B30=""),"TBD",Inputs!B17-SUM(Inputs!B18:B21,Inputs!B30))</f>
        <v/>
      </c>
    </row>
    <row r="24">
      <c r="A24" s="6" t="inlineStr">
        <is>
          <t>Residual state</t>
        </is>
      </c>
      <c r="B24" s="15">
        <f>IF(B23="TBD","TBD",IF(B23&lt;0,"OVER BUDGET",IF(B23=0,"NO RESIDUAL","POSITIVE RESIDUAL")))</f>
        <v/>
      </c>
    </row>
    <row r="25">
      <c r="A25" s="6" t="inlineStr">
        <is>
          <t>Approved share / reinvestment amount</t>
        </is>
      </c>
      <c r="B25" s="15">
        <f>IF(OR(B23="TBD",Inputs!B22=""),"TBD",IF(Inputs!B22&gt;Inputs!B12,"REVIEW: above unapproved ceiling",IF(B23&lt;=0,"NO POSITIVE RESIDUAL",B23*Inputs!B22)))</f>
        <v/>
      </c>
    </row>
    <row r="26">
      <c r="A26" s="6" t="inlineStr">
        <is>
          <t>Optional community-service runway ceiling</t>
        </is>
      </c>
      <c r="B26" s="15">
        <f>IF(Inputs!B23="","TBD",Inputs!B23*Inputs!B15)</f>
        <v/>
      </c>
    </row>
    <row r="27">
      <c r="A27" s="6" t="inlineStr">
        <is>
          <t>Optional SaaS operating cost input</t>
        </is>
      </c>
      <c r="B27" s="15">
        <f>IF(Inputs!B24="","TBD",Inputs!B24)</f>
        <v/>
      </c>
    </row>
    <row r="29">
      <c r="A29" s="14" t="inlineStr">
        <is>
          <t>D. Payment schedule check</t>
        </is>
      </c>
    </row>
    <row r="30">
      <c r="A30" s="6" t="inlineStr">
        <is>
          <t>Payment shares: 1 / 2 / 3</t>
        </is>
      </c>
      <c r="B30" s="15">
        <f>IF(OR(Inputs!B16="",Inputs!B17="",Inputs!B27=""),"TBD",SUM(Inputs!B27:B29))</f>
        <v/>
      </c>
    </row>
    <row r="31">
      <c r="A31" s="6" t="inlineStr">
        <is>
          <t>Payment schedule status</t>
        </is>
      </c>
      <c r="B31" s="15">
        <f>IF(OR(Inputs!B16="",Inputs!B17="",Inputs!B27=""),"TBD",IF(OR(Inputs!B27&lt;0,Inputs!B27&gt;1,AND(Inputs!B28&lt;&gt;"",OR(Inputs!B28&lt;0,Inputs!B28&gt;1)),AND(Inputs!B29&lt;&gt;"",OR(Inputs!B29&lt;0,Inputs!B29&gt;1))),"CHECK SHARE RANGE",IF(AND(Inputs!B29&lt;&gt;"",Inputs!B28=""),"PAYMENTS MUST BE IN ORDER",IF(SUM(Inputs!B27:B29)&lt;&gt;1,"CHECK TOTAL = 100%",IF(Inputs!B27&lt;Inputs!B13,"ADVANCE BELOW MINIMUM","OK — within 3-payment cap")))))</f>
        <v/>
      </c>
    </row>
    <row r="33">
      <c r="A33" s="18" t="inlineStr">
        <is>
          <t>Historical sensitivity uses USD company-directory rates and earlier package hours only; it is not the current budget. The UK contractor comparison below is shown separately in GBP. No market rate is selected as a project or partner rate.</t>
        </is>
      </c>
    </row>
    <row r="34"/>
    <row r="36">
      <c r="A36" s="74" t="inlineStr">
        <is>
          <t>E. Market reference for discussion — not an input to the partner fee or client budget</t>
        </is>
      </c>
    </row>
    <row r="37">
      <c r="A37" s="75" t="inlineStr">
        <is>
          <t>Jurisdiction</t>
        </is>
      </c>
      <c r="B37" s="75" t="inlineStr">
        <is>
          <t>Comparator class</t>
        </is>
      </c>
      <c r="C37" s="75" t="inlineStr">
        <is>
          <t>Low (source)</t>
        </is>
      </c>
      <c r="D37" s="75" t="inlineStr">
        <is>
          <t>High (source)</t>
        </is>
      </c>
      <c r="E37" s="75" t="inlineStr">
        <is>
          <t>Source unit</t>
        </is>
      </c>
      <c r="F37" s="75" t="inlineStr">
        <is>
          <t>Low normalized</t>
        </is>
      </c>
      <c r="G37" s="75" t="inlineStr">
        <is>
          <t>High normalized</t>
        </is>
      </c>
      <c r="H37" s="75" t="inlineStr">
        <is>
          <t>Normalized unit</t>
        </is>
      </c>
      <c r="I37" s="75" t="inlineStr">
        <is>
          <t>Formula / limitation</t>
        </is>
      </c>
      <c r="J37" s="75" t="inlineStr">
        <is>
          <t>Source and period</t>
        </is>
      </c>
    </row>
    <row r="38" ht="58" customHeight="1">
      <c r="A38" s="24" t="inlineStr">
        <is>
          <t>United Kingdom</t>
        </is>
      </c>
      <c r="B38" s="24" t="inlineStr">
        <is>
          <t>Clutch provider-company rate</t>
        </is>
      </c>
      <c r="C38" s="24" t="inlineStr">
        <is>
          <t>Unknown</t>
        </is>
      </c>
      <c r="D38" s="24" t="inlineStr">
        <is>
          <t>Unknown</t>
        </is>
      </c>
      <c r="E38" s="24" t="inlineStr">
        <is>
          <t>USD/provider-hour</t>
        </is>
      </c>
      <c r="F38" s="24" t="inlineStr">
        <is>
          <t>—</t>
        </is>
      </c>
      <c r="G38" s="24" t="inlineStr">
        <is>
          <t>—</t>
        </is>
      </c>
      <c r="H38" s="24" t="inlineStr">
        <is>
          <t>Not available</t>
        </is>
      </c>
      <c r="I38" s="24" t="inlineStr">
        <is>
          <t>Clutch country-level provider data is explicitly Unknown; no UK agency rate is imputed.</t>
        </is>
      </c>
      <c r="J38" s="72" t="inlineStr">
        <is>
          <t>Source page</t>
        </is>
      </c>
    </row>
    <row r="39" ht="58" customHeight="1">
      <c r="A39" s="24" t="inlineStr">
        <is>
          <t>United Kingdom</t>
        </is>
      </c>
      <c r="B39" s="24" t="inlineStr">
        <is>
          <t>Lorien software-engineer contractors</t>
        </is>
      </c>
      <c r="C39" s="76">
        <f>Market_Comparison!C8</f>
        <v/>
      </c>
      <c r="D39" s="76">
        <f>Market_Comparison!D8</f>
        <v/>
      </c>
      <c r="E39" s="24" t="inlineStr">
        <is>
          <t>GBP/contractor-day</t>
        </is>
      </c>
      <c r="F39" s="77">
        <f>Market_Comparison!F8</f>
        <v/>
      </c>
      <c r="G39" s="77">
        <f>Market_Comparison!G8</f>
        <v/>
      </c>
      <c r="H39" s="24" t="inlineStr">
        <is>
          <t>GBP/contractor-hour</t>
        </is>
      </c>
      <c r="I39" s="24" t="inlineStr">
        <is>
          <t>Normalize as GBP/contractor-day ÷ 7.5 hours/day; this is not an all-in provider-company price.</t>
        </is>
      </c>
      <c r="J39" s="72" t="inlineStr">
        <is>
          <t>Source page</t>
        </is>
      </c>
    </row>
    <row r="40" ht="58" customHeight="1">
      <c r="A40" s="24" t="inlineStr">
        <is>
          <t>United States</t>
        </is>
      </c>
      <c r="B40" s="24" t="inlineStr">
        <is>
          <t>Clutch software-development provider companies</t>
        </is>
      </c>
      <c r="C40" s="78">
        <f>Market_Comparison!C5</f>
        <v/>
      </c>
      <c r="D40" s="78">
        <f>Market_Comparison!D5</f>
        <v/>
      </c>
      <c r="E40" s="24" t="inlineStr">
        <is>
          <t>USD/provider-hour</t>
        </is>
      </c>
      <c r="F40" s="24" t="inlineStr">
        <is>
          <t>—</t>
        </is>
      </c>
      <c r="G40" s="24" t="inlineStr">
        <is>
          <t>—</t>
        </is>
      </c>
      <c r="H40" s="24" t="inlineStr">
        <is>
          <t>USD/provider-hour</t>
        </is>
      </c>
      <c r="I40" s="24" t="inlineStr">
        <is>
          <t>Directory band only; not a matched supplier quote. No FX conversion to GBP.</t>
        </is>
      </c>
      <c r="J40" s="72" t="inlineStr">
        <is>
          <t>Source page</t>
        </is>
      </c>
    </row>
    <row r="41" ht="58" customHeight="1">
      <c r="A41" s="24" t="inlineStr">
        <is>
          <t>Ukraine</t>
        </is>
      </c>
      <c r="B41" s="24" t="inlineStr">
        <is>
          <t>Clutch software-development provider companies</t>
        </is>
      </c>
      <c r="C41" s="78">
        <f>Market_Comparison!C6</f>
        <v/>
      </c>
      <c r="D41" s="78">
        <f>Market_Comparison!D6</f>
        <v/>
      </c>
      <c r="E41" s="24" t="inlineStr">
        <is>
          <t>USD/provider-hour</t>
        </is>
      </c>
      <c r="F41" s="24" t="inlineStr">
        <is>
          <t>—</t>
        </is>
      </c>
      <c r="G41" s="24" t="inlineStr">
        <is>
          <t>—</t>
        </is>
      </c>
      <c r="H41" s="24" t="inlineStr">
        <is>
          <t>USD/provider-hour</t>
        </is>
      </c>
      <c r="I41" s="24" t="inlineStr">
        <is>
          <t>Directory band only; not a matched supplier quote. No FX conversion to GBP.</t>
        </is>
      </c>
      <c r="J41" s="72" t="inlineStr">
        <is>
          <t>Source page</t>
        </is>
      </c>
    </row>
    <row r="43">
      <c r="A43" s="24" t="inlineStr">
        <is>
          <t>These are market comparators only. No project price is calculated from them. A client budget requires the reconciled scope, selected supplier quote, agreed partner fees, confirmed external costs and a contract currency; the UK contractor/day-rate class is not directly comparable to US/Ukraine provider-company listings.</t>
        </is>
      </c>
    </row>
    <row r="45">
      <c r="A45" s="74" t="inlineStr">
        <is>
          <t>F. Existing demo module — partner fee to agree; payable only after first client payment is received</t>
        </is>
      </c>
    </row>
    <row r="46">
      <c r="A46" s="75" t="inlineStr">
        <is>
          <t>Module / scope</t>
        </is>
      </c>
      <c r="B46" s="75" t="inlineStr">
        <is>
          <t>Agreed fee</t>
        </is>
      </c>
      <c r="C46" s="75" t="inlineStr">
        <is>
          <t>Currency</t>
        </is>
      </c>
      <c r="D46" s="75" t="inlineStr">
        <is>
          <t>Payment trigger</t>
        </is>
      </c>
      <c r="E46" s="75" t="inlineStr">
        <is>
          <t>Reuse condition</t>
        </is>
      </c>
      <c r="F46" s="75" t="inlineStr">
        <is>
          <t>First instalment amount (expected)</t>
        </is>
      </c>
      <c r="G46" s="75" t="inlineStr">
        <is>
          <t>Balance after fee if first instalment received</t>
        </is>
      </c>
      <c r="H46" s="75" t="inlineStr">
        <is>
          <t>Coverage check</t>
        </is>
      </c>
      <c r="I46" s="75" t="inlineStr">
        <is>
          <t>Decision status</t>
        </is>
      </c>
      <c r="J46" s="75" t="inlineStr">
        <is>
          <t>Input / caveat</t>
        </is>
      </c>
    </row>
    <row r="47" ht="100" customHeight="1">
      <c r="A47" s="24" t="inlineStr">
        <is>
          <t>Search + group formation; excludes persistence, extended dossier and project management</t>
        </is>
      </c>
      <c r="B47" s="33">
        <f>IF(Inputs!B30="","TBD",Inputs!B30)</f>
        <v/>
      </c>
      <c r="C47" s="33">
        <f>IF(Inputs!B30="","TBD",IF(Inputs!B16="","TBD",Inputs!B16))</f>
        <v/>
      </c>
      <c r="D47" s="24" t="inlineStr">
        <is>
          <t>Pay the demo author only after receipt of the first client payment.</t>
        </is>
      </c>
      <c r="E47" s="24" t="inlineStr">
        <is>
          <t>Only if this module is reused in the application; partners must agree fee and reuse boundary.</t>
        </is>
      </c>
      <c r="F47" s="33">
        <f>IF(OR(Inputs!B17="",Inputs!B27=""),"TBD",Inputs!B17*Inputs!B27)</f>
        <v/>
      </c>
      <c r="G47" s="33">
        <f>IF(OR(Inputs!B17="",Inputs!B27="",Inputs!B30=""),"TBD",Inputs!B17*Inputs!B27-Inputs!B30)</f>
        <v/>
      </c>
      <c r="H47" s="33">
        <f>IF(OR(Inputs!B17="",Inputs!B27="",Inputs!B30=""),"TBD",IF(Inputs!B17*Inputs!B27&gt;=Inputs!B30,"Covered by first instalment","First instalment does not cover fee"))</f>
        <v/>
      </c>
      <c r="I47" s="33">
        <f>IF(Inputs!B30="","PARTNER DECISION REQUIRED",IF(OR(Inputs!B16="",Inputs!B17="",Inputs!B27=""),"FEE ENTERED — COMPLETE CONTRACT INPUTS","FEE ENTERED — VERIFY AGREEMENT, REUSE AND RECEIPT"))</f>
        <v/>
      </c>
      <c r="J47" s="24" t="inlineStr">
        <is>
          <t>Inputs!B30; amount intentionally blank until agreed. Expected instalment is not proof of receipt.</t>
        </is>
      </c>
    </row>
    <row r="49">
      <c r="A49" s="24" t="inlineStr">
        <is>
          <t>Accounting rule: enter this one-time demo reuse fee separately in Inputs!B30 and exclude it from Inputs!B19. The fee is included once in verified direct costs/residual calculations when agreed; it is not an extra client charge on top of the agreed contract total. Do not treat the expected first instalment as received cash.</t>
        </is>
      </c>
    </row>
  </sheetData>
  <mergeCells count="9">
    <mergeCell ref="A1:J1"/>
    <mergeCell ref="A45:J45"/>
    <mergeCell ref="A36:J36"/>
    <mergeCell ref="A33:J34"/>
    <mergeCell ref="E18:J19"/>
    <mergeCell ref="B9:J10"/>
    <mergeCell ref="A43:J43"/>
    <mergeCell ref="A2:J2"/>
    <mergeCell ref="A49:J49"/>
  </mergeCells>
  <hyperlinks>
    <hyperlink xmlns:r="http://schemas.openxmlformats.org/officeDocument/2006/relationships" ref="J38" r:id="rId1"/>
    <hyperlink xmlns:r="http://schemas.openxmlformats.org/officeDocument/2006/relationships" ref="J39" r:id="rId2"/>
    <hyperlink xmlns:r="http://schemas.openxmlformats.org/officeDocument/2006/relationships" ref="J40" r:id="rId3"/>
    <hyperlink xmlns:r="http://schemas.openxmlformats.org/officeDocument/2006/relationships" ref="J41" r:id="rId4"/>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J45"/>
  <sheetViews>
    <sheetView showGridLines="0" tabSelected="0" zoomScale="90" workbookViewId="0">
      <pane ySplit="3" topLeftCell="A4" activePane="bottomLeft" state="frozen"/>
      <selection pane="bottomLeft" activeCell="A1" sqref="A1"/>
    </sheetView>
  </sheetViews>
  <sheetFormatPr baseColWidth="8" defaultRowHeight="15"/>
  <cols>
    <col width="20" customWidth="1" min="1" max="1"/>
    <col width="25" customWidth="1" min="2" max="2"/>
    <col width="28" customWidth="1" min="3" max="3"/>
    <col width="31" customWidth="1" min="4" max="4"/>
    <col width="34" customWidth="1" min="5" max="5"/>
    <col width="54" customWidth="1" min="6" max="6"/>
    <col width="34" customWidth="1" min="7" max="7"/>
    <col width="38" customWidth="1" min="8" max="8"/>
    <col width="48" customWidth="1" min="9" max="9"/>
    <col width="40" customWidth="1" min="10" max="10"/>
  </cols>
  <sheetData>
    <row r="1" ht="28" customHeight="1">
      <c r="A1" s="1" t="inlineStr">
        <is>
          <t>Model-local source register — not the canonical project registry</t>
        </is>
      </c>
    </row>
    <row r="3" ht="32" customHeight="1">
      <c r="A3" s="106" t="inlineStr">
        <is>
          <t>Code</t>
        </is>
      </c>
      <c r="B3" s="106" t="inlineStr">
        <is>
          <t>Value / formula</t>
        </is>
      </c>
      <c r="C3" s="106" t="inlineStr">
        <is>
          <t>Unit</t>
        </is>
      </c>
      <c r="D3" s="106" t="inlineStr">
        <is>
          <t>Period</t>
        </is>
      </c>
      <c r="E3" s="106" t="inlineStr">
        <is>
          <t>Status</t>
        </is>
      </c>
      <c r="F3" s="106" t="inlineStr">
        <is>
          <t>Origin / locator</t>
        </is>
      </c>
      <c r="G3" s="106" t="inlineStr">
        <is>
          <t>Formula / method</t>
        </is>
      </c>
      <c r="H3" s="106" t="inlineStr">
        <is>
          <t>Connectedness</t>
        </is>
      </c>
      <c r="I3" s="106" t="inlineStr">
        <is>
          <t>Limit / caveat</t>
        </is>
      </c>
      <c r="J3" s="28" t="inlineStr">
        <is>
          <t>Evidence tier/class</t>
        </is>
      </c>
    </row>
    <row r="4" ht="38" customHeight="1">
      <c r="A4" s="6" t="inlineStr">
        <is>
          <t>EFFORT-LOW</t>
        </is>
      </c>
      <c r="B4" s="15">
        <f>Work_Packages!E18</f>
        <v/>
      </c>
      <c r="C4" s="6" t="inlineStr">
        <is>
          <t>person-hours</t>
        </is>
      </c>
      <c r="D4" s="6" t="inlineStr">
        <is>
          <t>one-time fixed-core slice</t>
        </is>
      </c>
      <c r="E4" s="6" t="inlineStr">
        <is>
          <t>[ASSUMPTION]</t>
        </is>
      </c>
      <c r="F4" s="6" t="inlineStr">
        <is>
          <t>Source pricing workbook &gt; Core Estimate, rows 7–19</t>
        </is>
      </c>
      <c r="G4" s="6" t="inlineStr">
        <is>
          <t>SUM low-hour inputs</t>
        </is>
      </c>
      <c r="H4" s="6" t="inlineStr">
        <is>
          <t>Rate sensitivity by low/base/high scope</t>
        </is>
      </c>
      <c r="I4" s="6" t="inlineStr">
        <is>
          <t>No reuse credit for current code; no schedule implied.</t>
        </is>
      </c>
      <c r="J4" t="inlineStr">
        <is>
          <t>Tier 5 — legacy internal assumption/source workbook</t>
        </is>
      </c>
    </row>
    <row r="5" ht="38" customHeight="1">
      <c r="A5" s="6" t="inlineStr">
        <is>
          <t>EFFORT-BASE</t>
        </is>
      </c>
      <c r="B5" s="15">
        <f>Work_Packages!F18</f>
        <v/>
      </c>
      <c r="C5" s="6" t="inlineStr">
        <is>
          <t>person-hours</t>
        </is>
      </c>
      <c r="D5" s="6" t="inlineStr">
        <is>
          <t>one-time fixed-core slice</t>
        </is>
      </c>
      <c r="E5" s="6" t="inlineStr">
        <is>
          <t>[ASSUMPTION]</t>
        </is>
      </c>
      <c r="F5" s="6" t="inlineStr">
        <is>
          <t>Source pricing workbook &gt; Core Estimate, rows 7–19</t>
        </is>
      </c>
      <c r="G5" s="6" t="inlineStr">
        <is>
          <t>SUM base-hour inputs</t>
        </is>
      </c>
      <c r="H5" s="6" t="inlineStr">
        <is>
          <t>Rate sensitivity by low/base/high scope</t>
        </is>
      </c>
      <c r="I5" s="6" t="inlineStr">
        <is>
          <t>No reuse credit for current code; no schedule implied.</t>
        </is>
      </c>
      <c r="J5" t="inlineStr">
        <is>
          <t>Tier 5 — legacy internal assumption/source workbook</t>
        </is>
      </c>
    </row>
    <row r="6" ht="38" customHeight="1">
      <c r="A6" s="6" t="inlineStr">
        <is>
          <t>EFFORT-HIGH</t>
        </is>
      </c>
      <c r="B6" s="15">
        <f>Work_Packages!G18</f>
        <v/>
      </c>
      <c r="C6" s="6" t="inlineStr">
        <is>
          <t>person-hours</t>
        </is>
      </c>
      <c r="D6" s="6" t="inlineStr">
        <is>
          <t>one-time fixed-core slice</t>
        </is>
      </c>
      <c r="E6" s="6" t="inlineStr">
        <is>
          <t>[ASSUMPTION]</t>
        </is>
      </c>
      <c r="F6" s="6" t="inlineStr">
        <is>
          <t>Source pricing workbook &gt; Core Estimate, rows 7–19</t>
        </is>
      </c>
      <c r="G6" s="6" t="inlineStr">
        <is>
          <t>SUM high-hour inputs</t>
        </is>
      </c>
      <c r="H6" s="6" t="inlineStr">
        <is>
          <t>Rate sensitivity by low/base/high scope</t>
        </is>
      </c>
      <c r="I6" s="6" t="inlineStr">
        <is>
          <t>No reuse credit for current code; no schedule implied.</t>
        </is>
      </c>
      <c r="J6" t="inlineStr">
        <is>
          <t>Tier 5 — legacy internal assumption/source workbook</t>
        </is>
      </c>
    </row>
    <row r="7" ht="38" customHeight="1">
      <c r="A7" s="6" t="inlineStr">
        <is>
          <t>UA-RATE-LOW</t>
        </is>
      </c>
      <c r="B7" s="15">
        <f>Inputs!B4</f>
        <v/>
      </c>
      <c r="C7" s="6" t="inlineStr">
        <is>
          <t>USD/provider-hour</t>
        </is>
      </c>
      <c r="D7" s="6" t="inlineStr">
        <is>
          <t>Clutch published 2026 band</t>
        </is>
      </c>
      <c r="E7" s="6" t="inlineStr">
        <is>
          <t>Source-reported</t>
        </is>
      </c>
      <c r="F7" s="6" t="inlineStr">
        <is>
          <t>Clutch pricing guide, updated Sep 2026</t>
        </is>
      </c>
      <c r="G7" s="6" t="inlineStr">
        <is>
          <t>Published country band endpoint</t>
        </is>
      </c>
      <c r="H7" s="6" t="inlineStr">
        <is>
          <t>Ukraine-rate sensitivity, not final fee</t>
        </is>
      </c>
      <c r="I7" s="6" t="inlineStr">
        <is>
          <t>Not a national floor or matched quote.</t>
        </is>
      </c>
      <c r="J7" t="inlineStr">
        <is>
          <t>Tier 4 — private provider directory</t>
        </is>
      </c>
    </row>
    <row r="8" ht="38" customHeight="1">
      <c r="A8" s="6" t="inlineStr">
        <is>
          <t>UA-RATE-HIGH</t>
        </is>
      </c>
      <c r="B8" s="15">
        <f>Inputs!B5</f>
        <v/>
      </c>
      <c r="C8" s="6" t="inlineStr">
        <is>
          <t>USD/provider-hour</t>
        </is>
      </c>
      <c r="D8" s="6" t="inlineStr">
        <is>
          <t>Clutch published 2026 band</t>
        </is>
      </c>
      <c r="E8" s="6" t="inlineStr">
        <is>
          <t>Source-reported</t>
        </is>
      </c>
      <c r="F8" s="6" t="inlineStr">
        <is>
          <t>Clutch pricing guide, updated Sep 2026</t>
        </is>
      </c>
      <c r="G8" s="6" t="inlineStr">
        <is>
          <t>Published country band endpoint</t>
        </is>
      </c>
      <c r="H8" s="6" t="inlineStr">
        <is>
          <t>Ukraine-rate sensitivity, not final fee</t>
        </is>
      </c>
      <c r="I8" s="6" t="inlineStr">
        <is>
          <t>Not a national ceiling or matched quote.</t>
        </is>
      </c>
      <c r="J8" t="inlineStr">
        <is>
          <t>Tier 4 — private provider directory</t>
        </is>
      </c>
    </row>
    <row r="9" ht="38" customHeight="1">
      <c r="A9" s="6" t="inlineStr">
        <is>
          <t>US-RATE-LOW</t>
        </is>
      </c>
      <c r="B9" s="15">
        <f>Inputs!B6</f>
        <v/>
      </c>
      <c r="C9" s="6" t="inlineStr">
        <is>
          <t>USD/provider-hour</t>
        </is>
      </c>
      <c r="D9" s="6" t="inlineStr">
        <is>
          <t>Clutch published 2026 band</t>
        </is>
      </c>
      <c r="E9" s="6" t="inlineStr">
        <is>
          <t>Source-reported</t>
        </is>
      </c>
      <c r="F9" s="6" t="inlineStr">
        <is>
          <t>Clutch pricing guide, updated Sep 2026</t>
        </is>
      </c>
      <c r="G9" s="6" t="inlineStr">
        <is>
          <t>Published country band endpoint</t>
        </is>
      </c>
      <c r="H9" s="6" t="inlineStr">
        <is>
          <t>US comparative sensitivity only</t>
        </is>
      </c>
      <c r="I9" s="6" t="inlineStr">
        <is>
          <t>Not a national floor or matched quote.</t>
        </is>
      </c>
      <c r="J9" t="inlineStr">
        <is>
          <t>Tier 4 — private provider directory</t>
        </is>
      </c>
    </row>
    <row r="10" ht="38" customHeight="1">
      <c r="A10" s="6" t="inlineStr">
        <is>
          <t>US-RATE-HIGH</t>
        </is>
      </c>
      <c r="B10" s="15">
        <f>Inputs!B7</f>
        <v/>
      </c>
      <c r="C10" s="6" t="inlineStr">
        <is>
          <t>USD/provider-hour</t>
        </is>
      </c>
      <c r="D10" s="6" t="inlineStr">
        <is>
          <t>Clutch published 2026 band</t>
        </is>
      </c>
      <c r="E10" s="6" t="inlineStr">
        <is>
          <t>Source-reported</t>
        </is>
      </c>
      <c r="F10" s="6" t="inlineStr">
        <is>
          <t>Clutch pricing guide, updated Sep 2026</t>
        </is>
      </c>
      <c r="G10" s="6" t="inlineStr">
        <is>
          <t>Published country band endpoint</t>
        </is>
      </c>
      <c r="H10" s="6" t="inlineStr">
        <is>
          <t>US comparative sensitivity only</t>
        </is>
      </c>
      <c r="I10" s="6" t="inlineStr">
        <is>
          <t>Not a national ceiling or matched quote.</t>
        </is>
      </c>
      <c r="J10" t="inlineStr">
        <is>
          <t>Tier 4 — private provider directory</t>
        </is>
      </c>
    </row>
    <row r="11" ht="38" customHeight="1">
      <c r="A11" s="6" t="inlineStr">
        <is>
          <t>DEV-SHARE</t>
        </is>
      </c>
      <c r="B11" s="15">
        <f>TEXT(Inputs!B8,"0%")&amp;"–"&amp;TEXT(Inputs!B9,"0%")</f>
        <v/>
      </c>
      <c r="C11" s="6" t="inlineStr">
        <is>
          <t>fraction of agreed budget</t>
        </is>
      </c>
      <c r="D11" s="6" t="inlineStr">
        <is>
          <t>per project</t>
        </is>
      </c>
      <c r="E11" s="6" t="inlineStr">
        <is>
          <t>User-stated target; uncontracted</t>
        </is>
      </c>
      <c r="F11" s="6" t="inlineStr">
        <is>
          <t>Current conversation</t>
        </is>
      </c>
      <c r="G11" s="6" t="inlineStr">
        <is>
          <t>33%–50% target band</t>
        </is>
      </c>
      <c r="H11" s="6" t="inlineStr">
        <is>
          <t>Allocation scenario only</t>
        </is>
      </c>
      <c r="I11" s="6" t="inlineStr">
        <is>
          <t>Not fees or an approved contract split.</t>
        </is>
      </c>
      <c r="J11" t="inlineStr">
        <is>
          <t>User input/unapproved decision; no external tier</t>
        </is>
      </c>
    </row>
    <row r="12" ht="38" customHeight="1">
      <c r="A12" s="6" t="inlineStr">
        <is>
          <t>OPS-SHARE</t>
        </is>
      </c>
      <c r="B12" s="15">
        <f>TEXT(Inputs!B10,"0%")&amp;"–"&amp;TEXT(Inputs!B11,"0%")</f>
        <v/>
      </c>
      <c r="C12" s="6" t="inlineStr">
        <is>
          <t>fraction of agreed budget</t>
        </is>
      </c>
      <c r="D12" s="6" t="inlineStr">
        <is>
          <t>per project</t>
        </is>
      </c>
      <c r="E12" s="6" t="inlineStr">
        <is>
          <t>User-stated target; uncontracted</t>
        </is>
      </c>
      <c r="F12" s="6" t="inlineStr">
        <is>
          <t>Current conversation</t>
        </is>
      </c>
      <c r="G12" s="6" t="inlineStr">
        <is>
          <t>33%–50% target band</t>
        </is>
      </c>
      <c r="H12" s="6" t="inlineStr">
        <is>
          <t>Allocation scenario only</t>
        </is>
      </c>
      <c r="I12" s="6" t="inlineStr">
        <is>
          <t>Not fees or an approved contract split.</t>
        </is>
      </c>
      <c r="J12" t="inlineStr">
        <is>
          <t>User input/unapproved decision; no external tier</t>
        </is>
      </c>
    </row>
    <row r="13" ht="38" customHeight="1">
      <c r="A13" s="6" t="inlineStr">
        <is>
          <t>PROFIT-CEILING</t>
        </is>
      </c>
      <c r="B13" s="15">
        <f>Inputs!B12</f>
        <v/>
      </c>
      <c r="C13" s="6" t="inlineStr">
        <is>
          <t>fraction of positive residual</t>
        </is>
      </c>
      <c r="D13" s="6" t="inlineStr">
        <is>
          <t>post verified costs</t>
        </is>
      </c>
      <c r="E13" s="6" t="inlineStr">
        <is>
          <t>Unapproved decision; inactive</t>
        </is>
      </c>
      <c r="F13" s="6" t="inlineStr">
        <is>
          <t>Current conversation</t>
        </is>
      </c>
      <c r="G13" s="6" t="inlineStr">
        <is>
          <t>No distribution/reinvestment formula until approved</t>
        </is>
      </c>
      <c r="H13" s="6" t="inlineStr">
        <is>
          <t>Residual-profit decision only</t>
        </is>
      </c>
      <c r="I13" s="6" t="inlineStr">
        <is>
          <t>Not applied to project budget; denominator is not total contract.</t>
        </is>
      </c>
      <c r="J13" t="inlineStr">
        <is>
          <t>User input/unapproved decision; no external tier</t>
        </is>
      </c>
    </row>
    <row r="14" ht="38" customHeight="1">
      <c r="A14" s="6" t="inlineStr">
        <is>
          <t>ADVANCE-MIN</t>
        </is>
      </c>
      <c r="B14" s="15">
        <f>Inputs!B13</f>
        <v/>
      </c>
      <c r="C14" s="6" t="inlineStr">
        <is>
          <t>fraction of contract total</t>
        </is>
      </c>
      <c r="D14" s="6" t="inlineStr">
        <is>
          <t>per contract</t>
        </is>
      </c>
      <c r="E14" s="6" t="inlineStr">
        <is>
          <t>User-approved constraint; uncontracted</t>
        </is>
      </c>
      <c r="F14" s="6" t="inlineStr">
        <is>
          <t>Current conversation</t>
        </is>
      </c>
      <c r="G14" s="6" t="inlineStr">
        <is>
          <t>Advance must be &gt;= this share</t>
        </is>
      </c>
      <c r="H14" s="6" t="inlineStr">
        <is>
          <t>Payment schedule check</t>
        </is>
      </c>
      <c r="I14" s="6" t="inlineStr">
        <is>
          <t>Milestone shares remain TBD.</t>
        </is>
      </c>
      <c r="J14" t="inlineStr">
        <is>
          <t>User input/unapproved decision; no external tier</t>
        </is>
      </c>
    </row>
    <row r="15" ht="38" customHeight="1">
      <c r="A15" s="6" t="inlineStr">
        <is>
          <t>PAYMENT-CAP</t>
        </is>
      </c>
      <c r="B15" s="15">
        <f>Inputs!B14</f>
        <v/>
      </c>
      <c r="C15" s="6" t="inlineStr">
        <is>
          <t>payments</t>
        </is>
      </c>
      <c r="D15" s="6" t="inlineStr">
        <is>
          <t>per contract</t>
        </is>
      </c>
      <c r="E15" s="6" t="inlineStr">
        <is>
          <t>User-approved constraint; uncontracted</t>
        </is>
      </c>
      <c r="F15" s="6" t="inlineStr">
        <is>
          <t>Current conversation</t>
        </is>
      </c>
      <c r="G15" s="6" t="inlineStr">
        <is>
          <t>At most this many installments</t>
        </is>
      </c>
      <c r="H15" s="6" t="inlineStr">
        <is>
          <t>Three payment input slots</t>
        </is>
      </c>
      <c r="I15" s="6" t="inlineStr">
        <is>
          <t>Does not set payment triggers.</t>
        </is>
      </c>
      <c r="J15" t="inlineStr">
        <is>
          <t>User input/unapproved decision; no external tier</t>
        </is>
      </c>
    </row>
    <row r="16" ht="38" customHeight="1">
      <c r="A16" s="6" t="inlineStr">
        <is>
          <t>OPS-RUNWAY-CAP</t>
        </is>
      </c>
      <c r="B16" s="15">
        <f>Inputs!B15</f>
        <v/>
      </c>
      <c r="C16" s="6" t="inlineStr">
        <is>
          <t>calendar months</t>
        </is>
      </c>
      <c r="D16" s="6" t="inlineStr">
        <is>
          <t>post-launch support scenario</t>
        </is>
      </c>
      <c r="E16" s="6" t="inlineStr">
        <is>
          <t>User-stated cap; not funded</t>
        </is>
      </c>
      <c r="F16" s="6" t="inlineStr">
        <is>
          <t>Current conversation</t>
        </is>
      </c>
      <c r="G16" s="6" t="inlineStr">
        <is>
          <t>monthly operations cost × cap, once known</t>
        </is>
      </c>
      <c r="H16" s="6" t="inlineStr">
        <is>
          <t>Optional runway scenario</t>
        </is>
      </c>
      <c r="I16" s="6" t="inlineStr">
        <is>
          <t>No monthly cost or approval is assumed.</t>
        </is>
      </c>
      <c r="J16" t="inlineStr">
        <is>
          <t>User input/unapproved decision; no external tier</t>
        </is>
      </c>
    </row>
    <row r="17" ht="60" customHeight="1">
      <c r="A17" s="44" t="inlineStr">
        <is>
          <t>DOSSIER-LOW</t>
        </is>
      </c>
      <c r="B17" s="44">
        <f>Revised_Scope!B27</f>
        <v/>
      </c>
      <c r="C17" s="44" t="inlineStr">
        <is>
          <t>possible dossiers (people)</t>
        </is>
      </c>
      <c r="D17" s="44" t="inlineStr">
        <is>
          <t>planning scenario</t>
        </is>
      </c>
      <c r="E17" s="44" t="inlineStr">
        <is>
          <t>[ASSUMPTION] user-provided range boundary</t>
        </is>
      </c>
      <c r="F17" s="44" t="inlineStr">
        <is>
          <t>Current user direction; possible 300–500 dossier cohort</t>
        </is>
      </c>
      <c r="G17" s="44" t="inlineStr">
        <is>
          <t>Lower scenario input = 300; no inference from group size or conversion</t>
        </is>
      </c>
      <c r="H17" s="44" t="inlineStr">
        <is>
          <t>Feeds dossier workload hours and variable-cost scenarios</t>
        </is>
      </c>
      <c r="I17" s="44" t="inlineStr">
        <is>
          <t>Not a verified expert count, reachable audience, opt-in count, or forecast.</t>
        </is>
      </c>
      <c r="J17" t="inlineStr">
        <is>
          <t>User-provided scenario/assumption</t>
        </is>
      </c>
    </row>
    <row r="18" ht="60" customHeight="1">
      <c r="A18" s="45" t="inlineStr">
        <is>
          <t>DOSSIER-MID</t>
        </is>
      </c>
      <c r="B18" s="45">
        <f>Revised_Scope!B28</f>
        <v/>
      </c>
      <c r="C18" s="45" t="inlineStr">
        <is>
          <t>possible dossiers (people)</t>
        </is>
      </c>
      <c r="D18" s="45" t="inlineStr">
        <is>
          <t>planning scenario</t>
        </is>
      </c>
      <c r="E18" s="45" t="inlineStr">
        <is>
          <t>[ASSUMPTION] arithmetic midpoint</t>
        </is>
      </c>
      <c r="F18" s="45" t="inlineStr">
        <is>
          <t>Current user direction; possible 300–500 dossier cohort</t>
        </is>
      </c>
      <c r="G18" s="45" t="inlineStr">
        <is>
          <t>(300 + 500) / 2 = 400; formula in Revised_Scope!B28</t>
        </is>
      </c>
      <c r="H18" s="45" t="inlineStr">
        <is>
          <t>Feeds dossier workload hours and variable-cost scenarios</t>
        </is>
      </c>
      <c r="I18" s="45" t="inlineStr">
        <is>
          <t>Midpoint is not a forecast or expected participation.</t>
        </is>
      </c>
      <c r="J18" t="inlineStr">
        <is>
          <t>User-provided scenario/assumption</t>
        </is>
      </c>
    </row>
    <row r="19" ht="60" customHeight="1">
      <c r="A19" s="44" t="inlineStr">
        <is>
          <t>DOSSIER-HIGH</t>
        </is>
      </c>
      <c r="B19" s="44">
        <f>Revised_Scope!B29</f>
        <v/>
      </c>
      <c r="C19" s="44" t="inlineStr">
        <is>
          <t>possible dossiers (people)</t>
        </is>
      </c>
      <c r="D19" s="44" t="inlineStr">
        <is>
          <t>planning scenario</t>
        </is>
      </c>
      <c r="E19" s="44" t="inlineStr">
        <is>
          <t>[ASSUMPTION] user-provided range boundary</t>
        </is>
      </c>
      <c r="F19" s="44" t="inlineStr">
        <is>
          <t>Current user direction; possible 300–500 dossier cohort</t>
        </is>
      </c>
      <c r="G19" s="44" t="inlineStr">
        <is>
          <t>Upper scenario input = 500; no inference from group size or conversion</t>
        </is>
      </c>
      <c r="H19" s="44" t="inlineStr">
        <is>
          <t>Feeds dossier workload hours and variable-cost scenarios</t>
        </is>
      </c>
      <c r="I19" s="44" t="inlineStr">
        <is>
          <t>Not a verified expert count, reachable audience, opt-in count, or forecast.</t>
        </is>
      </c>
      <c r="J19" t="inlineStr">
        <is>
          <t>User-provided scenario/assumption</t>
        </is>
      </c>
    </row>
    <row r="20" ht="60" customHeight="1">
      <c r="A20" s="45" t="inlineStr">
        <is>
          <t>TI-PREP-DAYS</t>
        </is>
      </c>
      <c r="B20" s="45" t="inlineStr">
        <is>
          <t>2–3</t>
        </is>
      </c>
      <c r="C20" s="45" t="inlineStr">
        <is>
          <t>working days</t>
        </is>
      </c>
      <c r="D20" s="45" t="inlineStr">
        <is>
          <t>preparation for Trust &amp; Influence strategic session</t>
        </is>
      </c>
      <c r="E20" s="45" t="inlineStr">
        <is>
          <t>User-stated; not independently verified</t>
        </is>
      </c>
      <c r="F20" s="45" t="inlineStr">
        <is>
          <t>Current user direction</t>
        </is>
      </c>
      <c r="G20" s="45" t="inlineStr">
        <is>
          <t>2–3 working days; hours shown only under explicit 8 h/day × 1 person assumptions in Partner_Effort.</t>
        </is>
      </c>
      <c r="H20" s="45" t="inlineStr">
        <is>
          <t>Separate partner consulting effort; excluded from dossier calculator</t>
        </is>
      </c>
      <c r="I20" s="45" t="inlineStr">
        <is>
          <t>Does not include the session, synthesis, model/protocol drafting, validation, or training.</t>
        </is>
      </c>
      <c r="J20" t="inlineStr">
        <is>
          <t>User-provided scenario/assumption</t>
        </is>
      </c>
    </row>
    <row r="21">
      <c r="A21" t="inlineStr">
        <is>
          <t>UK-CLUTCH</t>
        </is>
      </c>
      <c r="B21" t="inlineStr">
        <is>
          <t>Unknown</t>
        </is>
      </c>
      <c r="C21" t="inlineStr">
        <is>
          <t>USD/provider-hour</t>
        </is>
      </c>
      <c r="D21" t="inlineStr">
        <is>
          <t>Clutch pricing guide updated 21 Sep 2026</t>
        </is>
      </c>
      <c r="E21" t="inlineStr">
        <is>
          <t>Source-reported; unavailable</t>
        </is>
      </c>
      <c r="F21" s="39" t="inlineStr">
        <is>
          <t>https://clutch.co/developers/pricing</t>
        </is>
      </c>
      <c r="G21" t="inlineStr">
        <is>
          <t>UK country-level provider rate is explicitly Unknown; do not impute it.</t>
        </is>
      </c>
      <c r="J21" t="inlineStr">
        <is>
          <t>Tier 4 — provider directory</t>
        </is>
      </c>
    </row>
    <row r="22">
      <c r="A22" t="inlineStr">
        <is>
          <t>UK-CTR-LOW</t>
        </is>
      </c>
      <c r="B22" t="n">
        <v>400</v>
      </c>
      <c r="C22" t="inlineStr">
        <is>
          <t>GBP/contractor-day</t>
        </is>
      </c>
      <c r="D22" t="inlineStr">
        <is>
          <t>Lorien 2026 guide</t>
        </is>
      </c>
      <c r="E22" t="inlineStr">
        <is>
          <t>Source-reported</t>
        </is>
      </c>
      <c r="F22" s="39" t="inlineStr">
        <is>
          <t>https://www.lorienglobal.com/insights/software-developer-contract-rates-in-the-uk</t>
        </is>
      </c>
      <c r="G22" t="inlineStr">
        <is>
          <t>Software engineer contractor range low endpoint; not an agency/provider quote.</t>
        </is>
      </c>
      <c r="J22" t="inlineStr">
        <is>
          <t>Tier 4 — contractor guide</t>
        </is>
      </c>
    </row>
    <row r="23">
      <c r="A23" t="inlineStr">
        <is>
          <t>UK-CTR-HIGH</t>
        </is>
      </c>
      <c r="B23" t="n">
        <v>550</v>
      </c>
      <c r="C23" t="inlineStr">
        <is>
          <t>GBP/contractor-day</t>
        </is>
      </c>
      <c r="D23" t="inlineStr">
        <is>
          <t>Lorien 2026 guide</t>
        </is>
      </c>
      <c r="E23" t="inlineStr">
        <is>
          <t>Source-reported</t>
        </is>
      </c>
      <c r="F23" s="39" t="inlineStr">
        <is>
          <t>https://www.lorienglobal.com/insights/software-developer-contract-rates-in-the-uk</t>
        </is>
      </c>
      <c r="G23" t="inlineStr">
        <is>
          <t>Software engineer contractor range high endpoint; not an agency/provider quote.</t>
        </is>
      </c>
      <c r="J23" t="inlineStr">
        <is>
          <t>Tier 4 — contractor guide</t>
        </is>
      </c>
    </row>
    <row r="24">
      <c r="A24" t="inlineStr">
        <is>
          <t>UK-WORKDAY</t>
        </is>
      </c>
      <c r="B24" t="n">
        <v>7.5</v>
      </c>
      <c r="C24" t="inlineStr">
        <is>
          <t>hours/contractor-day</t>
        </is>
      </c>
      <c r="D24" t="inlineStr">
        <is>
          <t>Lorien 2026 guide</t>
        </is>
      </c>
      <c r="E24" t="inlineStr">
        <is>
          <t>Source-reported conversion basis</t>
        </is>
      </c>
      <c r="F24" s="39" t="inlineStr">
        <is>
          <t>https://www.lorienglobal.com/insights/software-developer-contract-rates-in-the-uk</t>
        </is>
      </c>
      <c r="G24" t="inlineStr">
        <is>
          <t>Used only to normalize UK contractor day rate: GBP/day ÷ hours/day = GBP/hour.</t>
        </is>
      </c>
      <c r="J24" t="inlineStr">
        <is>
          <t>Tier 4 — contractor guide</t>
        </is>
      </c>
    </row>
    <row r="25">
      <c r="A25" t="inlineStr">
        <is>
          <t>PRICING-UK-DDT</t>
        </is>
      </c>
      <c r="B25" t="inlineStr">
        <is>
          <t>Fixed / variable / outcome-based / hybrid selection by scope certainty</t>
        </is>
      </c>
      <c r="C25" t="inlineStr">
        <is>
          <t>Contract mechanism</t>
        </is>
      </c>
      <c r="D25" t="inlineStr">
        <is>
          <t>UK Digital, Data and Technology Playbook</t>
        </is>
      </c>
      <c r="E25" t="inlineStr">
        <is>
          <t>Official guidance</t>
        </is>
      </c>
      <c r="F25" s="39" t="inlineStr">
        <is>
          <t>https://www.gov.uk/government/publications/the-digital-data-and-technology-playbook/contracting-for-agile-guidance-note-html</t>
        </is>
      </c>
      <c r="G25" t="inlineStr">
        <is>
          <t>Supports matching payment model to scope certainty; not a claim of universal sector standard.</t>
        </is>
      </c>
      <c r="J25" t="inlineStr">
        <is>
          <t>Tier 3 — UK government guidance</t>
        </is>
      </c>
    </row>
    <row r="26">
      <c r="A26" t="inlineStr">
        <is>
          <t>PRICING-US-FAR</t>
        </is>
      </c>
      <c r="B26" t="inlineStr">
        <is>
          <t>Fixed price when risk is predictable; consider alternatives or combinations when it is not</t>
        </is>
      </c>
      <c r="C26" t="inlineStr">
        <is>
          <t>Contract mechanism</t>
        </is>
      </c>
      <c r="D26" t="inlineStr">
        <is>
          <t>FAR 16.103; current page</t>
        </is>
      </c>
      <c r="E26" t="inlineStr">
        <is>
          <t>Official guidance</t>
        </is>
      </c>
      <c r="F26" s="39" t="inlineStr">
        <is>
          <t>https://www.acquisition.gov/far/16.103</t>
        </is>
      </c>
      <c r="G26" t="inlineStr">
        <is>
          <t>Official US federal contracting guidance; cited for principles, not as a private-sector mandate.</t>
        </is>
      </c>
      <c r="J26" t="inlineStr">
        <is>
          <t>Tier 3 — US government guidance</t>
        </is>
      </c>
    </row>
    <row r="27" ht="80" customHeight="1">
      <c r="A27" s="24" t="inlineStr">
        <is>
          <t>DEMO-MODULE-FEE</t>
        </is>
      </c>
      <c r="B27" s="24">
        <f>IF(Inputs!B30="","TBD",Inputs!B30)</f>
        <v/>
      </c>
      <c r="C27" s="24" t="inlineStr">
        <is>
          <t>agreed contract currency; one-time per reused module</t>
        </is>
      </c>
      <c r="D27" s="24" t="inlineStr">
        <is>
          <t>after first client payment is received</t>
        </is>
      </c>
      <c r="E27" s="24" t="inlineStr">
        <is>
          <t>Partner decision required; amount not set</t>
        </is>
      </c>
      <c r="F27" s="41" t="inlineStr">
        <is>
          <t>Current user direction; partner agreement needed</t>
        </is>
      </c>
      <c r="G27" s="24" t="inlineStr">
        <is>
          <t>No rate or fee inferred; amount entered only after partners agree reuse boundary and fee</t>
        </is>
      </c>
      <c r="H27" s="24" t="inlineStr">
        <is>
          <t>Budget_Model fee/coverage check; included once in verified direct costs</t>
        </is>
      </c>
      <c r="I27" s="24" t="inlineStr">
        <is>
          <t>Applies only if search + group-formation module is reused; excludes persistence, extended dossier and project management.</t>
        </is>
      </c>
      <c r="J27" t="inlineStr">
        <is>
          <t>User decision/internal transfer</t>
        </is>
      </c>
    </row>
    <row r="28">
      <c r="A28" s="24" t="inlineStr">
        <is>
          <t>UK-ITJW-P10</t>
        </is>
      </c>
      <c r="B28" s="24" t="n">
        <v>389</v>
      </c>
      <c r="C28" s="24" t="inlineStr">
        <is>
          <t>GBP / contractor-day</t>
        </is>
      </c>
      <c r="D28" s="24" t="inlineStr">
        <is>
          <t>Six months to 2026-10-02</t>
        </is>
      </c>
      <c r="E28" s="24" t="inlineStr">
        <is>
          <t>Source-reported; job-posting analytics</t>
        </is>
      </c>
      <c r="F28" s="41" t="inlineStr">
        <is>
          <t>https://www.itjobswatch.co.uk/contracts/uk/software%20engineer.do</t>
        </is>
      </c>
      <c r="G28" s="24" t="inlineStr">
        <is>
          <t>10th percentile of 518 quoted daily rates</t>
        </is>
      </c>
      <c r="H28" s="24" t="inlineStr">
        <is>
          <t>UK contractor comparator only; not provider-company pricing</t>
        </is>
      </c>
      <c r="I28" s="24" t="inlineStr">
        <is>
          <t>Vacancy-posted day rate, not a partner fee, supplier quote or project cost.</t>
        </is>
      </c>
      <c r="J28" t="inlineStr">
        <is>
          <t>Tier 4 — job-posting analytics</t>
        </is>
      </c>
    </row>
    <row r="29">
      <c r="A29" s="24" t="inlineStr">
        <is>
          <t>UK-ITJW-MEDIAN</t>
        </is>
      </c>
      <c r="B29" s="24" t="n">
        <v>555</v>
      </c>
      <c r="C29" s="24" t="inlineStr">
        <is>
          <t>GBP / contractor-day</t>
        </is>
      </c>
      <c r="D29" s="24" t="inlineStr">
        <is>
          <t>Six months to 2026-10-02</t>
        </is>
      </c>
      <c r="E29" s="24" t="inlineStr">
        <is>
          <t>Source-reported; job-posting analytics</t>
        </is>
      </c>
      <c r="F29" s="41" t="inlineStr">
        <is>
          <t>https://www.itjobswatch.co.uk/contracts/uk/software%20engineer.do</t>
        </is>
      </c>
      <c r="G29" s="24" t="inlineStr">
        <is>
          <t>Median of 518 quoted daily rates</t>
        </is>
      </c>
      <c r="H29" s="24" t="inlineStr">
        <is>
          <t>UK contractor comparator only; not provider-company pricing</t>
        </is>
      </c>
      <c r="I29" s="24" t="inlineStr">
        <is>
          <t>Vacancy-posted day rate, not a partner fee, supplier quote or project cost.</t>
        </is>
      </c>
      <c r="J29" t="inlineStr">
        <is>
          <t>Tier 4 — job-posting analytics</t>
        </is>
      </c>
    </row>
    <row r="30">
      <c r="A30" s="24" t="inlineStr">
        <is>
          <t>UK-ITJW-P90</t>
        </is>
      </c>
      <c r="B30" s="24" t="n">
        <v>750</v>
      </c>
      <c r="C30" s="24" t="inlineStr">
        <is>
          <t>GBP / contractor-day</t>
        </is>
      </c>
      <c r="D30" s="24" t="inlineStr">
        <is>
          <t>Six months to 2026-10-02</t>
        </is>
      </c>
      <c r="E30" s="24" t="inlineStr">
        <is>
          <t>Source-reported; job-posting analytics</t>
        </is>
      </c>
      <c r="F30" s="41" t="inlineStr">
        <is>
          <t>https://www.itjobswatch.co.uk/contracts/uk/software%20engineer.do</t>
        </is>
      </c>
      <c r="G30" s="24" t="inlineStr">
        <is>
          <t>90th percentile of 518 quoted daily rates</t>
        </is>
      </c>
      <c r="H30" s="24" t="inlineStr">
        <is>
          <t>UK contractor comparator only; not provider-company pricing</t>
        </is>
      </c>
      <c r="I30" s="24" t="inlineStr">
        <is>
          <t>Vacancy-posted day rate, not a partner fee, supplier quote or project cost.</t>
        </is>
      </c>
      <c r="J30" t="inlineStr">
        <is>
          <t>Tier 4 — job-posting analytics</t>
        </is>
      </c>
    </row>
    <row r="31" ht="41" customHeight="1">
      <c r="A31" s="94" t="inlineStr">
        <is>
          <t>UK-ONS-FT-MEDIAN</t>
        </is>
      </c>
      <c r="B31" s="94" t="n">
        <v>19.67</v>
      </c>
      <c r="C31" s="94" t="inlineStr">
        <is>
          <t>GBP/employee-hour</t>
        </is>
      </c>
      <c r="D31" s="94" t="inlineStr">
        <is>
          <t>April 2025</t>
        </is>
      </c>
      <c r="E31" s="94" t="inlineStr">
        <is>
          <t>Tier 3 — national statistics</t>
        </is>
      </c>
      <c r="F31" s="39" t="inlineStr">
        <is>
          <t>https://www.ons.gov.uk/employmentandlabourmarket/peopleinwork/earningsandworkinghours/bulletins/annualsurveyofhoursandearnings/2025</t>
        </is>
      </c>
      <c r="G31" s="94" t="inlineStr">
        <is>
          <t>Source median; no conversion.</t>
        </is>
      </c>
      <c r="H31" s="94" t="inlineStr">
        <is>
          <t>Context only, not a partner rate.</t>
        </is>
      </c>
      <c r="I31" s="94" t="inlineStr">
        <is>
          <t>Not contractor/provider price.</t>
        </is>
      </c>
      <c r="J31" s="94" t="inlineStr">
        <is>
          <t>Tier 3 — national statistics</t>
        </is>
      </c>
    </row>
    <row r="32" ht="41" customHeight="1">
      <c r="A32" s="94" t="inlineStr">
        <is>
          <t>US-BLS-MGMT</t>
        </is>
      </c>
      <c r="B32" s="94" t="n">
        <v>48.97</v>
      </c>
      <c r="C32" s="94" t="inlineStr">
        <is>
          <t>USD/employee-hour</t>
        </is>
      </c>
      <c r="D32" s="94" t="inlineStr">
        <is>
          <t>May 2025</t>
        </is>
      </c>
      <c r="E32" s="94" t="inlineStr">
        <is>
          <t>Tier 3 — government</t>
        </is>
      </c>
      <c r="F32" s="39" t="inlineStr">
        <is>
          <t>https://www.bls.gov/news.release/ocwage.t01.htm</t>
        </is>
      </c>
      <c r="G32" s="94" t="inlineStr">
        <is>
          <t>Source median hourly wage.</t>
        </is>
      </c>
      <c r="H32" s="94" t="inlineStr">
        <is>
          <t>Strategy/analysis analogue; not used in budget formulas.</t>
        </is>
      </c>
      <c r="I32" s="94" t="inlineStr">
        <is>
          <t>Employee wage, not consulting fee.</t>
        </is>
      </c>
      <c r="J32" s="94" t="inlineStr">
        <is>
          <t>Tier 3 — government</t>
        </is>
      </c>
    </row>
    <row r="33" ht="41" customHeight="1">
      <c r="A33" s="94" t="inlineStr">
        <is>
          <t>US-BLS-PM</t>
        </is>
      </c>
      <c r="B33" s="94" t="n">
        <v>49.19</v>
      </c>
      <c r="C33" s="94" t="inlineStr">
        <is>
          <t>USD/employee-hour</t>
        </is>
      </c>
      <c r="D33" s="94" t="inlineStr">
        <is>
          <t>May 2025</t>
        </is>
      </c>
      <c r="E33" s="94" t="inlineStr">
        <is>
          <t>Tier 3 — government</t>
        </is>
      </c>
      <c r="F33" s="39" t="inlineStr">
        <is>
          <t>https://www.bls.gov/news.release/ocwage.t01.htm</t>
        </is>
      </c>
      <c r="G33" s="94" t="inlineStr">
        <is>
          <t>Source median hourly wage.</t>
        </is>
      </c>
      <c r="H33" s="94" t="inlineStr">
        <is>
          <t>Project coordination analogue only.</t>
        </is>
      </c>
      <c r="I33" s="94" t="inlineStr">
        <is>
          <t>Employee wage, not PO contract rate.</t>
        </is>
      </c>
      <c r="J33" s="94" t="inlineStr">
        <is>
          <t>Tier 3 — government</t>
        </is>
      </c>
    </row>
    <row r="34" ht="41" customHeight="1">
      <c r="A34" s="94" t="inlineStr">
        <is>
          <t>US-BLS-OPS</t>
        </is>
      </c>
      <c r="B34" s="94" t="n">
        <v>50.85</v>
      </c>
      <c r="C34" s="94" t="inlineStr">
        <is>
          <t>USD/employee-hour</t>
        </is>
      </c>
      <c r="D34" s="94" t="inlineStr">
        <is>
          <t>May 2025</t>
        </is>
      </c>
      <c r="E34" s="94" t="inlineStr">
        <is>
          <t>Tier 3 — government</t>
        </is>
      </c>
      <c r="F34" s="39" t="inlineStr">
        <is>
          <t>https://www.bls.gov/news.release/ocwage.t01.htm</t>
        </is>
      </c>
      <c r="G34" s="94" t="inlineStr">
        <is>
          <t>Source median hourly wage.</t>
        </is>
      </c>
      <c r="H34" s="94" t="inlineStr">
        <is>
          <t>Operations analogue only.</t>
        </is>
      </c>
      <c r="I34" s="94" t="inlineStr">
        <is>
          <t>Not partner rate.</t>
        </is>
      </c>
      <c r="J34" s="94" t="inlineStr">
        <is>
          <t>Tier 3 — government</t>
        </is>
      </c>
    </row>
    <row r="35" ht="41" customHeight="1">
      <c r="A35" s="94" t="inlineStr">
        <is>
          <t>US-BLS-TRAINING</t>
        </is>
      </c>
      <c r="B35" s="94" t="n">
        <v>33.31</v>
      </c>
      <c r="C35" s="94" t="inlineStr">
        <is>
          <t>USD/employee-hour</t>
        </is>
      </c>
      <c r="D35" s="94" t="inlineStr">
        <is>
          <t>May 2025</t>
        </is>
      </c>
      <c r="E35" s="94" t="inlineStr">
        <is>
          <t>Tier 3 — government</t>
        </is>
      </c>
      <c r="F35" s="39" t="inlineStr">
        <is>
          <t>https://www.bls.gov/news.release/ocwage.t01.htm</t>
        </is>
      </c>
      <c r="G35" s="94" t="inlineStr">
        <is>
          <t>Source median hourly wage.</t>
        </is>
      </c>
      <c r="H35" s="94" t="inlineStr">
        <is>
          <t>Training analogue only.</t>
        </is>
      </c>
      <c r="I35" s="94" t="inlineStr">
        <is>
          <t>Not training quote.</t>
        </is>
      </c>
      <c r="J35" s="94" t="inlineStr">
        <is>
          <t>Tier 3 — government</t>
        </is>
      </c>
    </row>
    <row r="36" ht="41" customHeight="1">
      <c r="A36" s="94" t="inlineStr">
        <is>
          <t>US-BLS-MARKET-RESEARCH</t>
        </is>
      </c>
      <c r="B36" s="94" t="n">
        <v>37.87</v>
      </c>
      <c r="C36" s="94" t="inlineStr">
        <is>
          <t>USD/employee-hour</t>
        </is>
      </c>
      <c r="D36" s="94" t="inlineStr">
        <is>
          <t>May 2025</t>
        </is>
      </c>
      <c r="E36" s="94" t="inlineStr">
        <is>
          <t>Tier 3 — government</t>
        </is>
      </c>
      <c r="F36" s="39" t="inlineStr">
        <is>
          <t>https://www.bls.gov/news.release/ocwage.t01.htm</t>
        </is>
      </c>
      <c r="G36" s="94" t="inlineStr">
        <is>
          <t>Source median hourly wage.</t>
        </is>
      </c>
      <c r="H36" s="94" t="inlineStr">
        <is>
          <t>Research/comms analogue only.</t>
        </is>
      </c>
      <c r="I36" s="94" t="inlineStr">
        <is>
          <t>Not project quote.</t>
        </is>
      </c>
      <c r="J36" s="94" t="inlineStr">
        <is>
          <t>Tier 3 — government</t>
        </is>
      </c>
    </row>
    <row r="37" ht="41" customHeight="1">
      <c r="A37" s="94" t="inlineStr">
        <is>
          <t>UA-DOU-SR-PM</t>
        </is>
      </c>
      <c r="B37" s="94" t="n">
        <v>3325</v>
      </c>
      <c r="C37" s="94" t="inlineStr">
        <is>
          <t>USD/month; survey-reported</t>
        </is>
      </c>
      <c r="D37" s="94" t="inlineStr">
        <is>
          <t>Dec 2025; senior IT PM</t>
        </is>
      </c>
      <c r="E37" s="94" t="inlineStr">
        <is>
          <t>Tier 4 — salary survey</t>
        </is>
      </c>
      <c r="F37" s="39" t="inlineStr">
        <is>
          <t>https://dou.ua/lenta/articles/salary-report-managers-winter-2026</t>
        </is>
      </c>
      <c r="G37" s="94" t="inlineStr">
        <is>
          <t>Source median; kept monthly.</t>
        </is>
      </c>
      <c r="H37" s="94" t="inlineStr">
        <is>
          <t>Ukraine IT-sector comparator only.</t>
        </is>
      </c>
      <c r="I37" s="94" t="inlineStr">
        <is>
          <t>Not whole trusted-consultancy market or hourly.</t>
        </is>
      </c>
      <c r="J37" s="94" t="inlineStr">
        <is>
          <t>Tier 4 — salary survey</t>
        </is>
      </c>
    </row>
    <row r="38" ht="41" customHeight="1">
      <c r="A38" s="94" t="inlineStr">
        <is>
          <t>UA-DOU-SR-PRODUCT</t>
        </is>
      </c>
      <c r="B38" s="94" t="n">
        <v>4000</v>
      </c>
      <c r="C38" s="94" t="inlineStr">
        <is>
          <t>USD/month; survey-reported</t>
        </is>
      </c>
      <c r="D38" s="94" t="inlineStr">
        <is>
          <t>Dec 2025; senior IT Product Manager</t>
        </is>
      </c>
      <c r="E38" s="94" t="inlineStr">
        <is>
          <t>Tier 4 — salary survey</t>
        </is>
      </c>
      <c r="F38" s="39" t="inlineStr">
        <is>
          <t>https://dou.ua/lenta/articles/salary-report-managers-winter-2026</t>
        </is>
      </c>
      <c r="G38" s="94" t="inlineStr">
        <is>
          <t>Source median; kept monthly.</t>
        </is>
      </c>
      <c r="H38" s="94" t="inlineStr">
        <is>
          <t>Ukraine IT-sector comparator only.</t>
        </is>
      </c>
      <c r="I38" s="94" t="inlineStr">
        <is>
          <t>Not whole trusted-consultancy market or hourly.</t>
        </is>
      </c>
      <c r="J38" s="94" t="inlineStr">
        <is>
          <t>Tier 4 — salary survey</t>
        </is>
      </c>
    </row>
    <row r="39" ht="41" customHeight="1">
      <c r="A39" s="94" t="inlineStr">
        <is>
          <t>UK-ASHE-ROLE-GAP</t>
        </is>
      </c>
      <c r="B39" s="94" t="inlineStr">
        <is>
          <t>Not populated</t>
        </is>
      </c>
      <c r="C39" s="94" t="inlineStr">
        <is>
          <t>not available</t>
        </is>
      </c>
      <c r="D39" s="94" t="inlineStr">
        <is>
          <t>ASHE Table 14; role values unverified</t>
        </is>
      </c>
      <c r="E39" s="94" t="inlineStr">
        <is>
          <t>Tier 3 source; no value verified</t>
        </is>
      </c>
      <c r="F39" s="39" t="inlineStr">
        <is>
          <t>https://www.ons.gov.uk/employmentandlabourmarket/peopleinwork/earningsandworkinghours/datasets/occupation4digitsoc2010ashetable14</t>
        </is>
      </c>
      <c r="G39" s="94" t="inlineStr">
        <is>
          <t>No figure inserted; prior retrieval unavailable.</t>
        </is>
      </c>
      <c r="H39" s="94" t="inlineStr">
        <is>
          <t>Evidence gap only; not in calculations.</t>
        </is>
      </c>
      <c r="I39" s="94" t="inlineStr">
        <is>
          <t>Do not substitute all-worker median.</t>
        </is>
      </c>
      <c r="J39" s="94" t="inlineStr">
        <is>
          <t>Tier 3 source; no value verified</t>
        </is>
      </c>
    </row>
    <row r="40" ht="41" customHeight="1">
      <c r="A40" s="94" t="inlineStr">
        <is>
          <t>TI-PREP-LOW</t>
        </is>
      </c>
      <c r="B40" s="94">
        <f>Partner_Effort!D6</f>
        <v/>
      </c>
      <c r="C40" s="94" t="inlineStr">
        <is>
          <t>person-hours</t>
        </is>
      </c>
      <c r="D40" s="94" t="inlineStr">
        <is>
          <t>one-time T&amp;I preparation</t>
        </is>
      </c>
      <c r="E40" s="94" t="inlineStr">
        <is>
          <t>User input + [ASSUMPTION]</t>
        </is>
      </c>
      <c r="F40" s="94" t="inlineStr">
        <is>
          <t>Current direction; Partner_Effort!D6</t>
        </is>
      </c>
      <c r="G40" s="94" t="inlineStr">
        <is>
          <t>2 days × assumed 8 hours/day × 1 person = 16 hours.</t>
        </is>
      </c>
      <c r="H40" s="94" t="inlineStr">
        <is>
          <t>Track 1 preparation only; excludes other TI work.</t>
        </is>
      </c>
      <c r="I40" s="94" t="inlineStr">
        <is>
          <t>Confirm hours/day and person count.</t>
        </is>
      </c>
      <c r="J40" s="94" t="inlineStr">
        <is>
          <t>User input + [ASSUMPTION]</t>
        </is>
      </c>
    </row>
    <row r="41" ht="41" customHeight="1">
      <c r="A41" s="94" t="inlineStr">
        <is>
          <t>TI-PREP-HIGH</t>
        </is>
      </c>
      <c r="B41" s="94">
        <f>Partner_Effort!F6</f>
        <v/>
      </c>
      <c r="C41" s="94" t="inlineStr">
        <is>
          <t>person-hours</t>
        </is>
      </c>
      <c r="D41" s="94" t="inlineStr">
        <is>
          <t>one-time T&amp;I preparation</t>
        </is>
      </c>
      <c r="E41" s="94" t="inlineStr">
        <is>
          <t>User input + [ASSUMPTION]</t>
        </is>
      </c>
      <c r="F41" s="94" t="inlineStr">
        <is>
          <t>Current direction; Partner_Effort!F6</t>
        </is>
      </c>
      <c r="G41" s="94" t="inlineStr">
        <is>
          <t>3 days × assumed 8 hours/day × 1 person = 24 hours.</t>
        </is>
      </c>
      <c r="H41" s="94" t="inlineStr">
        <is>
          <t>Track 1 preparation only; excludes other TI work.</t>
        </is>
      </c>
      <c r="I41" s="94" t="inlineStr">
        <is>
          <t>Confirm hours/day and person count.</t>
        </is>
      </c>
      <c r="J41" s="94" t="inlineStr">
        <is>
          <t>User input + [ASSUMPTION]</t>
        </is>
      </c>
    </row>
    <row r="42" ht="41" customHeight="1">
      <c r="A42" s="94" t="inlineStr">
        <is>
          <t>WORKDAY-HOURS</t>
        </is>
      </c>
      <c r="B42" s="94">
        <f>Inputs!B40</f>
        <v/>
      </c>
      <c r="C42" s="94" t="inlineStr">
        <is>
          <t>hours/working day</t>
        </is>
      </c>
      <c r="D42" s="94" t="inlineStr">
        <is>
          <t>TI conversion only</t>
        </is>
      </c>
      <c r="E42" s="94" t="inlineStr">
        <is>
          <t>[ASSUMPTION]</t>
        </is>
      </c>
      <c r="F42" s="94" t="inlineStr">
        <is>
          <t>Current direction; confirm</t>
        </is>
      </c>
      <c r="G42" s="94" t="inlineStr">
        <is>
          <t>Assumed 8 hours/day.</t>
        </is>
      </c>
      <c r="H42" s="94" t="inlineStr">
        <is>
          <t>Converts TI prep days only.</t>
        </is>
      </c>
      <c r="I42" s="94" t="inlineStr">
        <is>
          <t>Not agreed training duration.</t>
        </is>
      </c>
      <c r="J42" s="94" t="inlineStr">
        <is>
          <t>[ASSUMPTION]</t>
        </is>
      </c>
    </row>
    <row r="43" ht="41" customHeight="1">
      <c r="A43" s="94" t="inlineStr">
        <is>
          <t>ANALYST-MIN</t>
        </is>
      </c>
      <c r="B43" s="94">
        <f>Inputs!B41</f>
        <v/>
      </c>
      <c r="C43" s="94" t="inlineStr">
        <is>
          <t>people</t>
        </is>
      </c>
      <c r="D43" s="94" t="inlineStr">
        <is>
          <t>staffing requirement</t>
        </is>
      </c>
      <c r="E43" s="94" t="inlineStr">
        <is>
          <t>User-stated</t>
        </is>
      </c>
      <c r="F43" s="94" t="inlineStr">
        <is>
          <t>Current direction</t>
        </is>
      </c>
      <c r="G43" s="94" t="inlineStr">
        <is>
          <t>At least one analyst.</t>
        </is>
      </c>
      <c r="H43" s="94" t="inlineStr">
        <is>
          <t>Staffing constraint only.</t>
        </is>
      </c>
      <c r="I43" s="94" t="inlineStr">
        <is>
          <t>No duration/cost implied.</t>
        </is>
      </c>
      <c r="J43" s="94" t="inlineStr">
        <is>
          <t>User-stated</t>
        </is>
      </c>
    </row>
    <row r="44" ht="41" customHeight="1">
      <c r="A44" s="94" t="inlineStr">
        <is>
          <t>TRAINING-MAX-DAYS</t>
        </is>
      </c>
      <c r="B44" s="94">
        <f>Inputs!B42</f>
        <v/>
      </c>
      <c r="C44" s="94" t="inlineStr">
        <is>
          <t>working day</t>
        </is>
      </c>
      <c r="D44" s="94" t="inlineStr">
        <is>
          <t>one-time training</t>
        </is>
      </c>
      <c r="E44" s="94" t="inlineStr">
        <is>
          <t>User-stated cap</t>
        </is>
      </c>
      <c r="F44" s="94" t="inlineStr">
        <is>
          <t>Current direction</t>
        </is>
      </c>
      <c r="G44" s="94" t="inlineStr">
        <is>
          <t>Maximum one day.</t>
        </is>
      </c>
      <c r="H44" s="94" t="inlineStr">
        <is>
          <t>Planning cap only.</t>
        </is>
      </c>
      <c r="I44" s="94" t="inlineStr">
        <is>
          <t>Not a base-hours estimate.</t>
        </is>
      </c>
      <c r="J44" s="94" t="inlineStr">
        <is>
          <t>User-stated cap</t>
        </is>
      </c>
    </row>
    <row r="45" ht="41" customHeight="1">
      <c r="A45" s="94" t="inlineStr">
        <is>
          <t>TRAINING-MAX-HOURS</t>
        </is>
      </c>
      <c r="B45" s="94">
        <f>Inputs!B43</f>
        <v/>
      </c>
      <c r="C45" s="94" t="inlineStr">
        <is>
          <t>hours; conditional cap</t>
        </is>
      </c>
      <c r="D45" s="94" t="inlineStr">
        <is>
          <t>one-time training</t>
        </is>
      </c>
      <c r="E45" s="94" t="inlineStr">
        <is>
          <t>[ASSUMPTION] formula</t>
        </is>
      </c>
      <c r="F45" s="94" t="inlineStr">
        <is>
          <t>Inputs!B40 × Inputs!B42</t>
        </is>
      </c>
      <c r="G45" s="94" t="inlineStr">
        <is>
          <t>Assumed hours/day × stated maximum days.</t>
        </is>
      </c>
      <c r="H45" s="94" t="inlineStr">
        <is>
          <t>Cap only, not budgeted base hours.</t>
        </is>
      </c>
      <c r="I45" s="94" t="inlineStr">
        <is>
          <t>Confirm actual day length.</t>
        </is>
      </c>
      <c r="J45" s="94" t="inlineStr">
        <is>
          <t>[ASSUMPTION] formula</t>
        </is>
      </c>
    </row>
  </sheetData>
  <autoFilter ref="A3:I20"/>
  <mergeCells count="1">
    <mergeCell ref="A1:I1"/>
  </mergeCells>
  <hyperlinks>
    <hyperlink xmlns:r="http://schemas.openxmlformats.org/officeDocument/2006/relationships" ref="F21" r:id="rId1"/>
    <hyperlink xmlns:r="http://schemas.openxmlformats.org/officeDocument/2006/relationships" ref="F22" r:id="rId2"/>
    <hyperlink xmlns:r="http://schemas.openxmlformats.org/officeDocument/2006/relationships" ref="F23" r:id="rId3"/>
    <hyperlink xmlns:r="http://schemas.openxmlformats.org/officeDocument/2006/relationships" ref="F24" r:id="rId4"/>
    <hyperlink xmlns:r="http://schemas.openxmlformats.org/officeDocument/2006/relationships" ref="F25" r:id="rId5"/>
    <hyperlink xmlns:r="http://schemas.openxmlformats.org/officeDocument/2006/relationships" ref="F26" r:id="rId6"/>
    <hyperlink xmlns:r="http://schemas.openxmlformats.org/officeDocument/2006/relationships" ref="F31" r:id="rId7"/>
    <hyperlink xmlns:r="http://schemas.openxmlformats.org/officeDocument/2006/relationships" ref="F32" r:id="rId8"/>
    <hyperlink xmlns:r="http://schemas.openxmlformats.org/officeDocument/2006/relationships" ref="F33" r:id="rId9"/>
    <hyperlink xmlns:r="http://schemas.openxmlformats.org/officeDocument/2006/relationships" ref="F34" r:id="rId10"/>
    <hyperlink xmlns:r="http://schemas.openxmlformats.org/officeDocument/2006/relationships" ref="F35" r:id="rId11"/>
    <hyperlink xmlns:r="http://schemas.openxmlformats.org/officeDocument/2006/relationships" ref="F36" r:id="rId12"/>
    <hyperlink xmlns:r="http://schemas.openxmlformats.org/officeDocument/2006/relationships" ref="F37" r:id="rId13"/>
    <hyperlink xmlns:r="http://schemas.openxmlformats.org/officeDocument/2006/relationships" ref="F38" r:id="rId14"/>
    <hyperlink xmlns:r="http://schemas.openxmlformats.org/officeDocument/2006/relationships" ref="F39" r:id="rId15"/>
  </hyperlink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O31"/>
  <sheetViews>
    <sheetView showGridLines="0" workbookViewId="0">
      <pane ySplit="4" topLeftCell="A5" activePane="bottomLeft" state="frozen"/>
      <selection pane="bottomLeft" activeCell="A1" sqref="A1"/>
    </sheetView>
  </sheetViews>
  <sheetFormatPr baseColWidth="8" defaultRowHeight="15"/>
  <cols>
    <col width="32" customWidth="1" min="1" max="1"/>
    <col width="74" customWidth="1" min="2" max="2"/>
    <col width="30" customWidth="1" min="3" max="3"/>
    <col width="58" customWidth="1" min="4" max="4"/>
    <col width="14" customWidth="1" min="5" max="5"/>
    <col width="14" customWidth="1" min="6" max="6"/>
    <col width="16" customWidth="1" min="7" max="7"/>
    <col width="18" customWidth="1" min="8" max="8"/>
    <col width="18" customWidth="1" min="9" max="9"/>
    <col width="20" customWidth="1" min="10" max="10"/>
    <col width="15" customWidth="1" min="11" max="11"/>
    <col width="18" customWidth="1" min="12" max="12"/>
    <col width="20" customWidth="1" min="13" max="13"/>
    <col width="18" customWidth="1" min="14" max="14"/>
    <col width="32" customWidth="1" min="15" max="15"/>
  </cols>
  <sheetData>
    <row r="1" ht="26" customHeight="1">
      <c r="A1" s="26" t="inlineStr">
        <is>
          <t>Legacy claim audit — reproducibility checks only; not a new quote</t>
        </is>
      </c>
    </row>
    <row r="3">
      <c r="A3" s="27" t="inlineStr">
        <is>
          <t>A. Recompute the original DOU-to-hourly formula from the original document’s stated inputs</t>
        </is>
      </c>
    </row>
    <row r="4" ht="45" customHeight="1">
      <c r="A4" s="28" t="inlineStr">
        <is>
          <t>Role</t>
        </is>
      </c>
      <c r="B4" s="28" t="inlineStr">
        <is>
          <t>Net USD/month</t>
        </is>
      </c>
      <c r="C4" s="28" t="inlineStr">
        <is>
          <t>Tax fraction</t>
        </is>
      </c>
      <c r="D4" s="28" t="inlineStr">
        <is>
          <t>ESV USD/month</t>
        </is>
      </c>
      <c r="E4" s="28" t="inlineStr">
        <is>
          <t>Hours/month</t>
        </is>
      </c>
      <c r="F4" s="28" t="inlineStr">
        <is>
          <t>EUR per USD</t>
        </is>
      </c>
      <c r="G4" s="28" t="inlineStr">
        <is>
          <t>Cost multiplier</t>
        </is>
      </c>
      <c r="H4" s="28" t="inlineStr">
        <is>
          <t>Source rate EUR/hour</t>
        </is>
      </c>
      <c r="I4" s="28" t="inlineStr">
        <is>
          <t>Recomputed EUR/hour</t>
        </is>
      </c>
      <c r="J4" s="28" t="inlineStr">
        <is>
          <t>Claim minus recomputed EUR/hour</t>
        </is>
      </c>
      <c r="K4" s="28" t="inlineStr">
        <is>
          <t>Total task hours</t>
        </is>
      </c>
      <c r="L4" s="28" t="inlineStr">
        <is>
          <t>Source cost EUR</t>
        </is>
      </c>
      <c r="M4" s="28" t="inlineStr">
        <is>
          <t>Recomputed cost EUR</t>
        </is>
      </c>
      <c r="N4" s="28" t="inlineStr">
        <is>
          <t>Cost difference EUR</t>
        </is>
      </c>
      <c r="O4" s="28" t="inlineStr">
        <is>
          <t>Evidence / scope status</t>
        </is>
      </c>
    </row>
    <row r="5">
      <c r="A5" s="24" t="inlineStr">
        <is>
          <t>Solution Architect / Lead</t>
        </is>
      </c>
      <c r="B5" s="29" t="n">
        <v>5500</v>
      </c>
      <c r="C5" s="29" t="n">
        <v>0.05</v>
      </c>
      <c r="D5" s="29" t="n">
        <v>42</v>
      </c>
      <c r="E5" s="29" t="n">
        <v>168</v>
      </c>
      <c r="F5" s="29" t="n">
        <v>0.926</v>
      </c>
      <c r="G5" s="29" t="n">
        <v>1.35</v>
      </c>
      <c r="H5" s="30" t="n">
        <v>48.5</v>
      </c>
      <c r="I5" s="31">
        <f>(((B5*(1+C5)+D5)/E5)*F5*G5)</f>
        <v/>
      </c>
      <c r="J5" s="31">
        <f>H5-I5</f>
        <v/>
      </c>
      <c r="K5" s="29" t="n">
        <v>130</v>
      </c>
      <c r="L5" s="31">
        <f>H5*K5</f>
        <v/>
      </c>
      <c r="M5" s="31">
        <f>I5*K5</f>
        <v/>
      </c>
      <c r="N5" s="31">
        <f>L5-M5</f>
        <v/>
      </c>
      <c r="O5" s="24" t="inlineStr">
        <is>
          <t>Source inputs/quoted rates; unverified assumptions</t>
        </is>
      </c>
    </row>
    <row r="6">
      <c r="A6" s="24" t="inlineStr">
        <is>
          <t>Product &amp; Security UX Designer</t>
        </is>
      </c>
      <c r="B6" s="29" t="n">
        <v>3200</v>
      </c>
      <c r="C6" s="29" t="n">
        <v>0.05</v>
      </c>
      <c r="D6" s="29" t="n">
        <v>42</v>
      </c>
      <c r="E6" s="29" t="n">
        <v>168</v>
      </c>
      <c r="F6" s="29" t="n">
        <v>0.926</v>
      </c>
      <c r="G6" s="29" t="n">
        <v>1.35</v>
      </c>
      <c r="H6" s="30" t="n">
        <v>30</v>
      </c>
      <c r="I6" s="31">
        <f>(((B6*(1+C6)+D6)/E6)*F6*G6)</f>
        <v/>
      </c>
      <c r="J6" s="31">
        <f>H6-I6</f>
        <v/>
      </c>
      <c r="K6" s="29" t="n">
        <v>200</v>
      </c>
      <c r="L6" s="31">
        <f>H6*K6</f>
        <v/>
      </c>
      <c r="M6" s="31">
        <f>I6*K6</f>
        <v/>
      </c>
      <c r="N6" s="31">
        <f>L6-M6</f>
        <v/>
      </c>
      <c r="O6" s="24" t="inlineStr">
        <is>
          <t>Source inputs/quoted rates; unverified assumptions</t>
        </is>
      </c>
    </row>
    <row r="7">
      <c r="A7" s="24" t="inlineStr">
        <is>
          <t>Senior Full-Stack Engineer</t>
        </is>
      </c>
      <c r="B7" s="29" t="n">
        <v>3500</v>
      </c>
      <c r="C7" s="29" t="n">
        <v>0.05</v>
      </c>
      <c r="D7" s="29" t="n">
        <v>42</v>
      </c>
      <c r="E7" s="29" t="n">
        <v>168</v>
      </c>
      <c r="F7" s="29" t="n">
        <v>0.926</v>
      </c>
      <c r="G7" s="29" t="n">
        <v>1.35</v>
      </c>
      <c r="H7" s="30" t="n">
        <v>32</v>
      </c>
      <c r="I7" s="31">
        <f>(((B7*(1+C7)+D7)/E7)*F7*G7)</f>
        <v/>
      </c>
      <c r="J7" s="31">
        <f>H7-I7</f>
        <v/>
      </c>
      <c r="K7" s="29" t="n">
        <v>560</v>
      </c>
      <c r="L7" s="31">
        <f>H7*K7</f>
        <v/>
      </c>
      <c r="M7" s="31">
        <f>I7*K7</f>
        <v/>
      </c>
      <c r="N7" s="31">
        <f>L7-M7</f>
        <v/>
      </c>
      <c r="O7" s="24" t="inlineStr">
        <is>
          <t>Source inputs/quoted rates; unverified assumptions</t>
        </is>
      </c>
    </row>
    <row r="8">
      <c r="A8" s="24" t="inlineStr">
        <is>
          <t>Frontend / WebGL Graph Engineer</t>
        </is>
      </c>
      <c r="B8" s="29" t="n">
        <v>3500</v>
      </c>
      <c r="C8" s="29" t="n">
        <v>0.05</v>
      </c>
      <c r="D8" s="29" t="n">
        <v>42</v>
      </c>
      <c r="E8" s="29" t="n">
        <v>168</v>
      </c>
      <c r="F8" s="29" t="n">
        <v>0.926</v>
      </c>
      <c r="G8" s="29" t="n">
        <v>1.35</v>
      </c>
      <c r="H8" s="30" t="n">
        <v>32</v>
      </c>
      <c r="I8" s="31">
        <f>(((B8*(1+C8)+D8)/E8)*F8*G8)</f>
        <v/>
      </c>
      <c r="J8" s="31">
        <f>H8-I8</f>
        <v/>
      </c>
      <c r="K8" s="29" t="n">
        <v>300</v>
      </c>
      <c r="L8" s="31">
        <f>H8*K8</f>
        <v/>
      </c>
      <c r="M8" s="31">
        <f>I8*K8</f>
        <v/>
      </c>
      <c r="N8" s="31">
        <f>L8-M8</f>
        <v/>
      </c>
      <c r="O8" s="24" t="inlineStr">
        <is>
          <t>Source inputs/quoted rates; unverified assumptions</t>
        </is>
      </c>
    </row>
    <row r="9">
      <c r="A9" s="24" t="inlineStr">
        <is>
          <t>Backend &amp; Cryptography Engineer</t>
        </is>
      </c>
      <c r="B9" s="29" t="n">
        <v>3500</v>
      </c>
      <c r="C9" s="29" t="n">
        <v>0.05</v>
      </c>
      <c r="D9" s="29" t="n">
        <v>42</v>
      </c>
      <c r="E9" s="29" t="n">
        <v>168</v>
      </c>
      <c r="F9" s="29" t="n">
        <v>0.926</v>
      </c>
      <c r="G9" s="29" t="n">
        <v>1.35</v>
      </c>
      <c r="H9" s="30" t="n">
        <v>32</v>
      </c>
      <c r="I9" s="31">
        <f>(((B9*(1+C9)+D9)/E9)*F9*G9)</f>
        <v/>
      </c>
      <c r="J9" s="31">
        <f>H9-I9</f>
        <v/>
      </c>
      <c r="K9" s="29" t="n">
        <v>420</v>
      </c>
      <c r="L9" s="31">
        <f>H9*K9</f>
        <v/>
      </c>
      <c r="M9" s="31">
        <f>I9*K9</f>
        <v/>
      </c>
      <c r="N9" s="31">
        <f>L9-M9</f>
        <v/>
      </c>
      <c r="O9" s="24" t="inlineStr">
        <is>
          <t>Source inputs/quoted rates; unverified assumptions</t>
        </is>
      </c>
    </row>
    <row r="10">
      <c r="A10" s="24" t="inlineStr">
        <is>
          <t>DevOps &amp; SecOps Infrastructure</t>
        </is>
      </c>
      <c r="B10" s="29" t="n">
        <v>3600</v>
      </c>
      <c r="C10" s="29" t="n">
        <v>0.05</v>
      </c>
      <c r="D10" s="29" t="n">
        <v>42</v>
      </c>
      <c r="E10" s="29" t="n">
        <v>168</v>
      </c>
      <c r="F10" s="29" t="n">
        <v>0.926</v>
      </c>
      <c r="G10" s="29" t="n">
        <v>1.35</v>
      </c>
      <c r="H10" s="30" t="n">
        <v>33.5</v>
      </c>
      <c r="I10" s="31">
        <f>(((B10*(1+C10)+D10)/E10)*F10*G10)</f>
        <v/>
      </c>
      <c r="J10" s="31">
        <f>H10-I10</f>
        <v/>
      </c>
      <c r="K10" s="29" t="n">
        <v>110</v>
      </c>
      <c r="L10" s="31">
        <f>H10*K10</f>
        <v/>
      </c>
      <c r="M10" s="31">
        <f>I10*K10</f>
        <v/>
      </c>
      <c r="N10" s="31">
        <f>L10-M10</f>
        <v/>
      </c>
      <c r="O10" s="24" t="inlineStr">
        <is>
          <t>Source inputs/quoted rates; unverified assumptions</t>
        </is>
      </c>
    </row>
    <row r="11">
      <c r="A11" s="24" t="inlineStr">
        <is>
          <t>QA / Compliance Verification</t>
        </is>
      </c>
      <c r="B11" s="29" t="n">
        <v>2500</v>
      </c>
      <c r="C11" s="29" t="n">
        <v>0.05</v>
      </c>
      <c r="D11" s="29" t="n">
        <v>42</v>
      </c>
      <c r="E11" s="29" t="n">
        <v>168</v>
      </c>
      <c r="F11" s="29" t="n">
        <v>0.926</v>
      </c>
      <c r="G11" s="29" t="n">
        <v>1.35</v>
      </c>
      <c r="H11" s="30" t="n">
        <v>24</v>
      </c>
      <c r="I11" s="31">
        <f>(((B11*(1+C11)+D11)/E11)*F11*G11)</f>
        <v/>
      </c>
      <c r="J11" s="31">
        <f>H11-I11</f>
        <v/>
      </c>
      <c r="K11" s="29" t="n">
        <v>160</v>
      </c>
      <c r="L11" s="31">
        <f>H11*K11</f>
        <v/>
      </c>
      <c r="M11" s="31">
        <f>I11*K11</f>
        <v/>
      </c>
      <c r="N11" s="31">
        <f>L11-M11</f>
        <v/>
      </c>
      <c r="O11" s="24" t="inlineStr">
        <is>
          <t>Source inputs/quoted rates; unverified assumptions</t>
        </is>
      </c>
    </row>
    <row r="12">
      <c r="A12" s="24" t="inlineStr">
        <is>
          <t>Project Delivery Manager</t>
        </is>
      </c>
      <c r="B12" s="29" t="n">
        <v>2800</v>
      </c>
      <c r="C12" s="29" t="n">
        <v>0.05</v>
      </c>
      <c r="D12" s="29" t="n">
        <v>42</v>
      </c>
      <c r="E12" s="29" t="n">
        <v>168</v>
      </c>
      <c r="F12" s="29" t="n">
        <v>0.926</v>
      </c>
      <c r="G12" s="29" t="n">
        <v>1.35</v>
      </c>
      <c r="H12" s="30" t="n">
        <v>26.5</v>
      </c>
      <c r="I12" s="31">
        <f>(((B12*(1+C12)+D12)/E12)*F12*G12)</f>
        <v/>
      </c>
      <c r="J12" s="31">
        <f>H12-I12</f>
        <v/>
      </c>
      <c r="K12" s="29" t="n">
        <v>200</v>
      </c>
      <c r="L12" s="31">
        <f>H12*K12</f>
        <v/>
      </c>
      <c r="M12" s="31">
        <f>I12*K12</f>
        <v/>
      </c>
      <c r="N12" s="31">
        <f>L12-M12</f>
        <v/>
      </c>
      <c r="O12" s="24" t="inlineStr">
        <is>
          <t>Source inputs/quoted rates; unverified assumptions</t>
        </is>
      </c>
    </row>
    <row r="13">
      <c r="A13" s="32" t="inlineStr">
        <is>
          <t>TOTAL / CROSS-CHECK</t>
        </is>
      </c>
      <c r="B13" s="32" t="n"/>
      <c r="C13" s="32" t="n"/>
      <c r="D13" s="32" t="n"/>
      <c r="E13" s="32" t="n"/>
      <c r="F13" s="32" t="n"/>
      <c r="G13" s="32" t="n"/>
      <c r="H13" s="32" t="n"/>
      <c r="I13" s="32" t="n"/>
      <c r="J13" s="32" t="n"/>
      <c r="K13" s="32">
        <f>SUM(K5:K12)</f>
        <v/>
      </c>
      <c r="L13" s="32">
        <f>SUM(L5:L12)</f>
        <v/>
      </c>
      <c r="M13" s="32">
        <f>SUM(M5:M12)</f>
        <v/>
      </c>
      <c r="N13" s="32">
        <f>SUM(N5:N12)</f>
        <v/>
      </c>
      <c r="O13" s="32" t="n"/>
    </row>
    <row r="15" ht="42" customHeight="1">
      <c r="A15" s="33" t="inlineStr">
        <is>
          <t>⚠ ASSUMPTION — Recalculation uses the original document’s own stated values (tax 5%, ESV USD 42, 168 hours/month, EUR/USD 0.926, multiplier 1.35). It tests arithmetic reproducibility only; it does not validate the inputs, tax treatment, exchange rate, source salaries, or the multiplier.</t>
        </is>
      </c>
    </row>
    <row r="17">
      <c r="A17" s="34" t="inlineStr">
        <is>
          <t>B. Recompute the cited UK contractor day-rate band</t>
        </is>
      </c>
    </row>
    <row r="18" ht="38" customHeight="1">
      <c r="A18" s="28" t="inlineStr">
        <is>
          <t>Low £/day</t>
        </is>
      </c>
      <c r="B18" s="28" t="inlineStr">
        <is>
          <t>High £/day</t>
        </is>
      </c>
      <c r="C18" s="28" t="inlineStr">
        <is>
          <t>Hours/day</t>
        </is>
      </c>
      <c r="D18" s="28" t="inlineStr">
        <is>
          <t>Recomputed low £/hour</t>
        </is>
      </c>
      <c r="E18" s="28" t="inlineStr">
        <is>
          <t>Recomputed high £/hour</t>
        </is>
      </c>
      <c r="F18" s="28" t="inlineStr">
        <is>
          <t>Claimed low £/hour</t>
        </is>
      </c>
      <c r="G18" s="28" t="inlineStr">
        <is>
          <t>Claimed high £/hour</t>
        </is>
      </c>
      <c r="H18" s="28" t="inlineStr">
        <is>
          <t>Check</t>
        </is>
      </c>
    </row>
    <row r="19">
      <c r="A19" s="35" t="n">
        <v>650</v>
      </c>
      <c r="B19" s="35" t="n">
        <v>900</v>
      </c>
      <c r="C19" s="35" t="n">
        <v>7.5</v>
      </c>
      <c r="D19" s="36">
        <f>A19/C19</f>
        <v/>
      </c>
      <c r="E19" s="36">
        <f>B19/C19</f>
        <v/>
      </c>
      <c r="F19" s="35" t="n">
        <v>140</v>
      </c>
      <c r="G19" s="35" t="n">
        <v>200</v>
      </c>
      <c r="H19" s="36" t="inlineStr">
        <is>
          <t>Does not reconcile</t>
        </is>
      </c>
    </row>
    <row r="21">
      <c r="A21" s="34" t="inlineStr">
        <is>
          <t>C. Evidence checks for selected legacy market claims</t>
        </is>
      </c>
    </row>
    <row r="22">
      <c r="A22" s="37" t="inlineStr">
        <is>
          <t>Claim</t>
        </is>
      </c>
      <c r="B22" s="37" t="inlineStr">
        <is>
          <t>Fact-check / limit</t>
        </is>
      </c>
      <c r="C22" s="37" t="inlineStr">
        <is>
          <t>Status</t>
        </is>
      </c>
      <c r="D22" s="37" t="inlineStr">
        <is>
          <t>Primary source / locator</t>
        </is>
      </c>
    </row>
    <row r="23" ht="120" customHeight="1">
      <c r="A23" s="38" t="inlineStr">
        <is>
          <t>BLS wage × 3 as typical supplier billing rate</t>
        </is>
      </c>
      <c r="B23" s="38" t="inlineStr">
        <is>
          <t>May 2023 OEWS confirms Software Developers mean wage USD 66.40/hour and 90th percentile USD 100.30/hour. These are employee wage estimates, not vendor rates. USD 66.40 × 3 = USD 199.20 is arithmetic only; BLS does not substantiate the 3.0 bill-rate multiplier.</t>
        </is>
      </c>
      <c r="C23" s="38" t="inlineStr">
        <is>
          <t>Wage verified; multiplier unsupported</t>
        </is>
      </c>
      <c r="D23" s="41" t="inlineStr">
        <is>
          <t>BLS OEWS May 2023, SOC 15-1252; BLS ECEC concepts</t>
        </is>
      </c>
    </row>
    <row r="24" ht="120" customHeight="1">
      <c r="A24" s="24" t="inlineStr">
        <is>
          <t>“May 2023 / 2024” BLS period</t>
        </is>
      </c>
      <c r="B24" s="24" t="inlineStr">
        <is>
          <t>The cited URL is explicitly the May 2023 table. The year 2024 is not supported by that locator.</t>
        </is>
      </c>
      <c r="C24" s="24" t="inlineStr">
        <is>
          <t>Period mismatch</t>
        </is>
      </c>
      <c r="D24" s="41" t="inlineStr">
        <is>
          <t>https://www.bls.gov/oes/2023/may/oes151252.htm</t>
        </is>
      </c>
    </row>
    <row r="25" ht="120" customHeight="1">
      <c r="A25" s="38" t="inlineStr">
        <is>
          <t>GLG filing identifier and disclosed scale</t>
        </is>
      </c>
      <c r="B25" s="38" t="inlineStr">
        <is>
          <t>The original gives CIK 0001878347; the GLG SEC S-1 filing located is CIK 1661123. That filing reports over 60,000 users across 2,700 subscription clients as of June 30, 2021; cited price/consultation-share claims lack a page/table locator in the original.</t>
        </is>
      </c>
      <c r="C25" s="38" t="inlineStr">
        <is>
          <t>Identifier mismatch; price claims unverified</t>
        </is>
      </c>
      <c r="D25" s="42" t="inlineStr">
        <is>
          <t>https://www.sec.gov/Archives/edgar/data/1661123/000119312521301055/d161028ds1.htm</t>
        </is>
      </c>
    </row>
    <row r="26" ht="120" customHeight="1">
      <c r="A26" s="24" t="inlineStr">
        <is>
          <t>GLG “payback in 150–200 calls”</t>
        </is>
      </c>
      <c r="B26" s="24" t="inlineStr">
        <is>
          <t>Not reproducible as savings: platform price is EUR while consultation claims are USD; gross call price is not net avoided cost and omits expert payout and operating costs.</t>
        </is>
      </c>
      <c r="C26" s="24" t="inlineStr">
        <is>
          <t>Unsupported comparison</t>
        </is>
      </c>
      <c r="D26" s="24" t="inlineStr">
        <is>
          <t>Same GLG S-1 locator above; no FX, net-cost baseline, or calculation supplied</t>
        </is>
      </c>
    </row>
    <row r="27" ht="120" customHeight="1">
      <c r="A27" s="38" t="inlineStr">
        <is>
          <t>Palantir “USD 55m average contract value”</t>
        </is>
      </c>
      <c r="B27" s="38" t="inlineStr">
        <is>
          <t>FY2023 Form 10-K instead reports average trailing-12-month revenue of USD 54.6m for its top twenty customers. This is not labeled average contract value and does not price a comparable ISRM contract.</t>
        </is>
      </c>
      <c r="C27" s="38" t="inlineStr">
        <is>
          <t>Metric mislabelled / not comparable</t>
        </is>
      </c>
      <c r="D27" s="42" t="inlineStr">
        <is>
          <t>https://www.sec.gov/Archives/edgar/data/1321655/000132165524000022/pltr-20231231.htm, Item 7, p. 66</t>
        </is>
      </c>
    </row>
    <row r="28" ht="120" customHeight="1">
      <c r="A28" s="24" t="inlineStr">
        <is>
          <t>FPDS pilot contracts “from USD 1.2m”</t>
        </is>
      </c>
      <c r="B28" s="24" t="inlineStr">
        <is>
          <t>No award ID, agency, award date, solicitation or comparable scope is identified in the original; the minimum-price claim cannot be checked from the citation as written.</t>
        </is>
      </c>
      <c r="C28" s="24" t="inlineStr">
        <is>
          <t>Unverified</t>
        </is>
      </c>
      <c r="D28" s="24" t="inlineStr">
        <is>
          <t>No direct FPDS award locator supplied</t>
        </is>
      </c>
    </row>
    <row r="29" ht="120" customHeight="1">
      <c r="A29" s="38" t="inlineStr">
        <is>
          <t>“Less than 16%” of USD 1.2m</t>
        </is>
      </c>
      <c r="B29" s="38" t="inlineStr">
        <is>
          <t>The numerator is EUR 198,270 and denominator USD 1,200,000. The original supplies no dated EUR/USD conversion for this comparison; same-currency arithmetic is therefore not established.</t>
        </is>
      </c>
      <c r="C29" s="38" t="inlineStr">
        <is>
          <t>Currency mismatch</t>
        </is>
      </c>
      <c r="D29" s="38" t="inlineStr">
        <is>
          <t>Original proposal §3.2; no applicable conversion source supplied</t>
        </is>
      </c>
    </row>
    <row r="30" ht="120" customHeight="1">
      <c r="A30" s="24" t="inlineStr">
        <is>
          <t>UK consultant day rates vs hourly band</t>
        </is>
      </c>
      <c r="B30" s="24" t="inlineStr">
        <is>
          <t>The stated £650/7.5 and £900/7.5 equal exactly £260/3 and £120 per hour, not £140–£200/hour. The separately converted EUR totals also lack a dated FX locator.</t>
        </is>
      </c>
      <c r="C30" s="24" t="inlineStr">
        <is>
          <t>Arithmetic mismatch / FX unverified</t>
        </is>
      </c>
      <c r="D30" s="24" t="inlineStr">
        <is>
          <t>Original proposal §3.1 cites IT Jobs Watch; day-rate conversion shown in this sheet</t>
        </is>
      </c>
    </row>
    <row r="31" ht="120" customHeight="1">
      <c r="A31" s="38" t="inlineStr">
        <is>
          <t>DOU-based direct-cost amounts</t>
        </is>
      </c>
      <c r="B31" s="38" t="inlineStr">
        <is>
          <t>The rate calculation and role-level quoted rates do not reconcile when the source’s own inputs are substituted; see Section A formulas and row-by-row deltas.</t>
        </is>
      </c>
      <c r="C31" s="38" t="inlineStr">
        <is>
          <t>Arithmetic mismatch; inputs unverified</t>
        </is>
      </c>
      <c r="D31" s="41" t="inlineStr">
        <is>
          <t>Original proposal §§2.2–2.3; DOU winter 2025 link cited there</t>
        </is>
      </c>
    </row>
  </sheetData>
  <mergeCells count="5">
    <mergeCell ref="A15:O15"/>
    <mergeCell ref="A21:D21"/>
    <mergeCell ref="A1:O1"/>
    <mergeCell ref="A3:O3"/>
    <mergeCell ref="A17:H17"/>
  </mergeCells>
  <hyperlinks>
    <hyperlink xmlns:r="http://schemas.openxmlformats.org/officeDocument/2006/relationships" ref="D23" r:id="rId1"/>
    <hyperlink xmlns:r="http://schemas.openxmlformats.org/officeDocument/2006/relationships" ref="D24" r:id="rId2"/>
    <hyperlink xmlns:r="http://schemas.openxmlformats.org/officeDocument/2006/relationships" ref="D25" r:id="rId3"/>
    <hyperlink xmlns:r="http://schemas.openxmlformats.org/officeDocument/2006/relationships" ref="D27" r:id="rId4"/>
    <hyperlink xmlns:r="http://schemas.openxmlformats.org/officeDocument/2006/relationships" ref="D31" r:id="rId5"/>
  </hyperlinks>
  <pageMargins left="0.75" right="0.75"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K33"/>
  <sheetViews>
    <sheetView showGridLines="0" workbookViewId="0">
      <pane ySplit="3" topLeftCell="A4" activePane="bottomLeft" state="frozen"/>
      <selection pane="bottomLeft" activeCell="A1" sqref="A1"/>
    </sheetView>
  </sheetViews>
  <sheetFormatPr baseColWidth="8" defaultRowHeight="15"/>
  <cols>
    <col width="15" customWidth="1" min="1" max="1"/>
    <col width="28" customWidth="1" min="2" max="2"/>
    <col width="50" customWidth="1" min="3" max="3"/>
    <col width="29" customWidth="1" min="4" max="4"/>
    <col width="43" customWidth="1" min="5" max="5"/>
    <col width="43" customWidth="1" min="6" max="6"/>
    <col width="22" customWidth="1" min="7" max="7"/>
    <col width="28" customWidth="1" min="8" max="8"/>
    <col width="28" customWidth="1" min="9" max="9"/>
    <col width="31" customWidth="1" min="10" max="10"/>
    <col width="41" customWidth="1" min="11" max="11"/>
  </cols>
  <sheetData>
    <row r="1" ht="28" customHeight="1">
      <c r="A1" s="46" t="inlineStr">
        <is>
          <t>ISRM Expert Network — Revised Scope and Dossier Scenario Model</t>
        </is>
      </c>
    </row>
    <row r="2" ht="32" customHeight="1">
      <c r="A2" s="43" t="inlineStr">
        <is>
          <t>Working model for partner review; not a client offer, confirmed estimate, or delivery commitment. Unknown effort and costs remain TBD. The historical 13-package estimate is preserved on its original sheets.</t>
        </is>
      </c>
    </row>
    <row r="4">
      <c r="A4" s="47" t="inlineStr">
        <is>
          <t>A. Agreed scope and commercial treatment</t>
        </is>
      </c>
    </row>
    <row r="5">
      <c r="A5" s="48" t="inlineStr">
        <is>
          <t>ID</t>
        </is>
      </c>
      <c r="B5" s="48" t="inlineStr">
        <is>
          <t>Workstream</t>
        </is>
      </c>
      <c r="C5" s="48" t="inlineStr">
        <is>
          <t>Agreed treatment / deliverables</t>
        </is>
      </c>
      <c r="D5" s="48" t="inlineStr">
        <is>
          <t>Effort or cost state</t>
        </is>
      </c>
      <c r="E5" s="48" t="inlineStr">
        <is>
          <t>Dependency / decision gate</t>
        </is>
      </c>
      <c r="F5" s="48" t="inlineStr">
        <is>
          <t>Origin / caveat</t>
        </is>
      </c>
    </row>
    <row r="6" ht="100" customHeight="1">
      <c r="A6" s="45" t="inlineStr">
        <is>
          <t>DEMO-01</t>
        </is>
      </c>
      <c r="B6" s="45" t="inlineStr">
        <is>
          <t>Completed demo module — search and group formation (no persistence, extended dossier, or project management)</t>
        </is>
      </c>
      <c r="C6" s="45" t="inlineStr">
        <is>
          <t>Treat the demo module as prior work with reuse value, not as free work and not as a full greenfield rebuild. If reused in the application, the agreed one-time fee is paid to its author only after receipt of the first client payment. Agree the fee and reuse boundary among partners; the amount remains blank until then. Do not add the internal transfer twice to the client price.</t>
        </is>
      </c>
      <c r="D6" s="45" t="inlineStr">
        <is>
          <t>Fee amount: TBD; partner decision required.</t>
        </is>
      </c>
      <c r="E6" s="45" t="inlineStr">
        <is>
          <t>Pay only if reused and only after the first client payment is received; enter one amount in Inputs!B30 and exclude it from Inputs!B19.</t>
        </is>
      </c>
      <c r="F6" s="45" t="inlineStr">
        <is>
          <t>User direction; no agreed fee amount or reliable historical time ledger is available.</t>
        </is>
      </c>
    </row>
    <row r="7" ht="88" customHeight="1">
      <c r="A7" s="44" t="inlineStr">
        <is>
          <t>DEMO-02</t>
        </is>
      </c>
      <c r="B7" s="44" t="inlineStr">
        <is>
          <t>Client-demo group formation, feature approval/configurator and proposal interactions</t>
        </is>
      </c>
      <c r="C7" s="44" t="inlineStr">
        <is>
          <t>User reports these interactions in the client-facing demo. The reviewed repository snapshot differs; reconcile the exact demo build before estimating. Do not infer missing features from the snapshot or count these as already production-ready.</t>
        </is>
      </c>
      <c r="D7" s="44" t="inlineStr">
        <is>
          <t>Reconciliation and reuse credit: TBD</t>
        </is>
      </c>
      <c r="E7" s="44" t="inlineStr">
        <is>
          <t>Confirm exact demo build and developer review.</t>
        </is>
      </c>
      <c r="F7" s="44" t="inlineStr">
        <is>
          <t>User-described demo versus reviewed repository snapshot; inventory mismatch remains open.</t>
        </is>
      </c>
    </row>
    <row r="8" ht="74" customHeight="1">
      <c r="A8" s="45" t="inlineStr">
        <is>
          <t>SW-01</t>
        </is>
      </c>
      <c r="B8" s="45" t="inlineStr">
        <is>
          <t>Residual production software</t>
        </is>
      </c>
      <c r="C8" s="45" t="inlineStr">
        <is>
          <t>Estimate only what remains: persistent named groups and expert-to-project assignments; project linkage and permissions; agreed workflow completion; production data/API, security, QA, deployment and any approved AI dossier workflow. Deduct reuse only where developers confirm it.</t>
        </is>
      </c>
      <c r="D8" s="45" t="inlineStr">
        <is>
          <t>Package-level hours and supplier quotes: TBD</t>
        </is>
      </c>
      <c r="E8" s="45" t="inlineStr">
        <is>
          <t>Reconcile exact build, acceptance criteria, data access and required configuration first.</t>
        </is>
      </c>
      <c r="F8" s="45" t="inlineStr">
        <is>
          <t>Separate from partner consulting and from historical greenfield hours.</t>
        </is>
      </c>
    </row>
    <row r="9" ht="88" customHeight="1">
      <c r="A9" s="44" t="inlineStr">
        <is>
          <t>PART-01</t>
        </is>
      </c>
      <c r="B9" s="44" t="inlineStr">
        <is>
          <t>Strategy and expert-engagement campaign</t>
        </is>
      </c>
      <c r="C9" s="44" t="inlineStr">
        <is>
          <t>Separate partner/consulting package: multiple strategic sessions; prioritize directions and expertise gaps; agree review criteria for existing experts; prepare member survey and campaign materials; run approved campaign; synthesize responses; report on possible links to referrals/membership, content, events, knowledge-base coverage and index capacity; assess application need and specific features.</t>
        </is>
      </c>
      <c r="D9" s="44" t="inlineStr">
        <is>
          <t>Session count, deliverables, partner hours and fee: TBD</t>
        </is>
      </c>
      <c r="E9" s="44" t="inlineStr">
        <is>
          <t>Client/board approval before selected experts are mobilized, knowledge base is populated, or experts work on indices. Set baselines and observation/attribution method before outcome calculations.</t>
        </is>
      </c>
      <c r="F9" s="44" t="inlineStr">
        <is>
          <t>Scope from user direction; no conversion, growth or causal outcome is forecast.</t>
        </is>
      </c>
    </row>
    <row r="10" ht="100" customHeight="1">
      <c r="A10" s="45" t="inlineStr">
        <is>
          <t>PART-02</t>
        </is>
      </c>
      <c r="B10" s="45" t="inlineStr">
        <is>
          <t>Trust &amp; Influence preparation</t>
        </is>
      </c>
      <c r="C10" s="45" t="inlineStr">
        <is>
          <t>Preparation for the co-designed Trust &amp; Influence strategic session was stated as 2–3 working days. This is not the complete model/protocol/training workstream.</t>
        </is>
      </c>
      <c r="D10" s="45" t="inlineStr">
        <is>
          <t>16–24 conditional person-hours; formula: 2–3 working days × 8 hours/day × 1 person.</t>
        </is>
      </c>
      <c r="E10" s="45" t="inlineStr">
        <is>
          <t>The 8-hour workday and one-person basis are assumptions; confirm them before treating the hour range as agreed. The session, synthesis, model/protocol, validation and training remain separate TBD items.</t>
        </is>
      </c>
      <c r="F10" s="45" t="inlineStr">
        <is>
          <t>User-stated 2–3 working days; hour conversion is conditional on explicit 8 h/day × 1 person assumptions.</t>
        </is>
      </c>
    </row>
    <row r="11" ht="74" customHeight="1">
      <c r="A11" s="44" t="inlineStr">
        <is>
          <t>PART-03</t>
        </is>
      </c>
      <c r="B11" s="44" t="inlineStr">
        <is>
          <t>Trust &amp; Influence model, protocol and orientation/training</t>
        </is>
      </c>
      <c r="C11" s="44" t="inlineStr">
        <is>
          <t>Co-design model and protocol with the client; define evidence classes, governance and correction/challenge process; then orient selected practice leaders and regional representatives. Do not present a sector-wide index as validated without an agreed validation design and evidence.</t>
        </is>
      </c>
      <c r="D11" s="44" t="inlineStr">
        <is>
          <t>Hours, participant count, validation and fee: TBD</t>
        </is>
      </c>
      <c r="E11" s="44" t="inlineStr">
        <is>
          <t>Agree ownership, group composition, training format and validation method.</t>
        </is>
      </c>
      <c r="F11" s="44" t="inlineStr">
        <is>
          <t>Separate from 2–3 preparation days and from the broader strategy/campaign package.</t>
        </is>
      </c>
    </row>
    <row r="12" ht="88" customHeight="1">
      <c r="A12" s="45" t="inlineStr">
        <is>
          <t>PILOT-01</t>
        </is>
      </c>
      <c r="B12" s="45" t="inlineStr">
        <is>
          <t>AI-assisted dossier preparation and human review</t>
        </is>
      </c>
      <c r="C12" s="45" t="inlineStr">
        <is>
          <t>A bounded AI-assisted preparation/triage capability is a candidate for the Base configuration given the possible 300–500-record workload. Measure human work by stage and obtain provider/model/usage pricing; AI does not replace human evidence review or client approval.</t>
        </is>
      </c>
      <c r="D12" s="45" t="inlineStr">
        <is>
          <t>Time per record, rates and AI/API unit cost: TBD</t>
        </is>
      </c>
      <c r="E12" s="45" t="inlineStr">
        <is>
          <t>Agree lawful sample, data access, output standard, privacy controls, human review and provider before pricing.</t>
        </is>
      </c>
      <c r="F12" s="45" t="inlineStr">
        <is>
          <t>User-provided potential workload; not a verified count of experts or participants.</t>
        </is>
      </c>
    </row>
    <row r="13" ht="74" customHeight="1">
      <c r="A13" s="44" t="inlineStr">
        <is>
          <t>COMM-01</t>
        </is>
      </c>
      <c r="B13" s="44" t="inlineStr">
        <is>
          <t>Possible paid community contributions</t>
        </is>
      </c>
      <c r="C13" s="44" t="inlineStr">
        <is>
          <t>Carry only as a note that participant/expert contributions may be paid. Do not assume contributor count, fee, revenue, offset, or reduction in client price.</t>
        </is>
      </c>
      <c r="D13" s="44" t="inlineStr">
        <is>
          <t>No calculation; amount and volume not assumed</t>
        </is>
      </c>
      <c r="E13" s="44" t="inlineStr">
        <is>
          <t>Separate feasibility, disclosure, consent and governance decisions.</t>
        </is>
      </c>
      <c r="F13" s="44" t="inlineStr">
        <is>
          <t>User-approved treatment: note only, no budget assumption.</t>
        </is>
      </c>
    </row>
    <row r="14" ht="74" customHeight="1">
      <c r="A14" s="45" t="inlineStr">
        <is>
          <t>PAY-01</t>
        </is>
      </c>
      <c r="B14" s="45" t="inlineStr">
        <is>
          <t>Proposed client payment milestones</t>
        </is>
      </c>
      <c r="C14" s="45" t="inlineStr">
        <is>
          <t>30% / 40% / 30% is a discussion proposal, with each payment tied to deliverables and acceptance. The first instalment is at least 30%; final amounts depend on approved scope and price.</t>
        </is>
      </c>
      <c r="D14" s="45" t="inlineStr">
        <is>
          <t>Shares stated; contract amounts TBD</t>
        </is>
      </c>
      <c r="E14" s="45" t="inlineStr">
        <is>
          <t>Partner/client agreement and milestone acceptance criteria required.</t>
        </is>
      </c>
      <c r="F14" s="45" t="inlineStr">
        <is>
          <t>User-approved proposal constraint; not a sector standard or signed term.</t>
        </is>
      </c>
    </row>
    <row r="16">
      <c r="A16" s="47" t="inlineStr">
        <is>
          <t>B. Measured dossier-workflow inputs — leave blank until measured or quoted</t>
        </is>
      </c>
    </row>
    <row r="17">
      <c r="A17" s="48" t="inlineStr">
        <is>
          <t>Workflow stage</t>
        </is>
      </c>
      <c r="B17" s="48" t="inlineStr">
        <is>
          <t>Human minutes per dossier</t>
        </is>
      </c>
      <c r="C17" s="48" t="inlineStr">
        <is>
          <t>Labor rate (contract currency / person-hour)</t>
        </is>
      </c>
      <c r="D17" s="48" t="inlineStr">
        <is>
          <t>Status</t>
        </is>
      </c>
      <c r="E17" s="48" t="inlineStr">
        <is>
          <t>Source / measurement method</t>
        </is>
      </c>
      <c r="F17" s="48" t="inlineStr">
        <is>
          <t>Scope note</t>
        </is>
      </c>
    </row>
    <row r="18" ht="48" customHeight="1">
      <c r="A18" s="45" t="inlineStr">
        <is>
          <t>Human effort for AI-assisted preparation (source gathering, prompting, editing/formatting)</t>
        </is>
      </c>
      <c r="B18" s="49" t="n"/>
      <c r="C18" s="49" t="n"/>
      <c r="D18" s="50" t="inlineStr">
        <is>
          <t>TBD — measure</t>
        </is>
      </c>
      <c r="E18" s="50" t="inlineStr">
        <is>
          <t>Permitted, consent-based pilot time study; record observed minutes by stage.</t>
        </is>
      </c>
      <c r="F18" s="50" t="inlineStr">
        <is>
          <t>Human labor only; machine latency is excluded.</t>
        </is>
      </c>
    </row>
    <row r="19" ht="48" customHeight="1">
      <c r="A19" s="45" t="inlineStr">
        <is>
          <t>Human evidence review / verification</t>
        </is>
      </c>
      <c r="B19" s="49" t="n"/>
      <c r="C19" s="49" t="n"/>
      <c r="D19" s="50" t="inlineStr">
        <is>
          <t>TBD — measure</t>
        </is>
      </c>
      <c r="E19" s="50" t="inlineStr">
        <is>
          <t>Permitted, consent-based pilot time study; record observed minutes by stage.</t>
        </is>
      </c>
      <c r="F19" s="50" t="inlineStr">
        <is>
          <t>Do not treat AI-generated output as verified evidence.</t>
        </is>
      </c>
    </row>
    <row r="20" ht="48" customHeight="1">
      <c r="A20" s="45" t="inlineStr">
        <is>
          <t>Correction, appeal and rework</t>
        </is>
      </c>
      <c r="B20" s="49" t="n"/>
      <c r="C20" s="49" t="n"/>
      <c r="D20" s="50" t="inlineStr">
        <is>
          <t>TBD — measure</t>
        </is>
      </c>
      <c r="E20" s="50" t="inlineStr">
        <is>
          <t>Measure actual rework across the cohort; use cohort-average minutes per dossier.</t>
        </is>
      </c>
      <c r="F20" s="50" t="inlineStr">
        <is>
          <t>No exception rate is assumed.</t>
        </is>
      </c>
    </row>
    <row r="21" ht="48" customHeight="1">
      <c r="A21" s="45" t="inlineStr">
        <is>
          <t>Client decision / approval effort</t>
        </is>
      </c>
      <c r="B21" s="49" t="n"/>
      <c r="C21" s="49" t="n"/>
      <c r="D21" s="50" t="inlineStr">
        <is>
          <t>TBD — measure</t>
        </is>
      </c>
      <c r="E21" s="50" t="inlineStr">
        <is>
          <t>Measure review effort; document whether allocated per dossier or per batch.</t>
        </is>
      </c>
      <c r="F21" s="50" t="inlineStr">
        <is>
          <t>Per-dossier allocation is a model simplification to validate.</t>
        </is>
      </c>
    </row>
    <row r="22" ht="48" customHeight="1">
      <c r="A22" s="45" t="inlineStr">
        <is>
          <t>AI provider/API usage cost per dossier</t>
        </is>
      </c>
      <c r="B22" s="49" t="n"/>
      <c r="C22" s="49" t="n"/>
      <c r="D22" s="50" t="inlineStr">
        <is>
          <t>TBD — quote</t>
        </is>
      </c>
      <c r="E22" s="50" t="inlineStr">
        <is>
          <t>Selected model/provider quote or metered pilot usage in the agreed contract currency.</t>
        </is>
      </c>
      <c r="F22" s="50" t="inlineStr">
        <is>
          <t>Do not infer from provider list prices without selected model and usage profile.</t>
        </is>
      </c>
    </row>
    <row r="25">
      <c r="A25" s="47" t="inlineStr">
        <is>
          <t>C. Possible dossier workload scenarios — volume only until measured inputs are supplied</t>
        </is>
      </c>
    </row>
    <row r="26">
      <c r="A26" s="48" t="inlineStr">
        <is>
          <t>Scenario</t>
        </is>
      </c>
      <c r="B26" s="48" t="inlineStr">
        <is>
          <t>Possible dossiers (people)</t>
        </is>
      </c>
      <c r="C26" s="48" t="inlineStr">
        <is>
          <t>AI-assisted prep hours</t>
        </is>
      </c>
      <c r="D26" s="48" t="inlineStr">
        <is>
          <t>Evidence review hours</t>
        </is>
      </c>
      <c r="E26" s="48" t="inlineStr">
        <is>
          <t>Correction / appeal hours</t>
        </is>
      </c>
      <c r="F26" s="48" t="inlineStr">
        <is>
          <t>Client approval hours</t>
        </is>
      </c>
      <c r="G26" s="48" t="inlineStr">
        <is>
          <t>Total human hours</t>
        </is>
      </c>
      <c r="H26" s="48" t="inlineStr">
        <is>
          <t>Human labor subtotal (contract currency)</t>
        </is>
      </c>
      <c r="I26" s="48" t="inlineStr">
        <is>
          <t>AI/API subtotal (contract currency)</t>
        </is>
      </c>
      <c r="J26" s="48" t="inlineStr">
        <is>
          <t>Combined measured subtotal (contract currency)</t>
        </is>
      </c>
      <c r="K26" s="48" t="inlineStr">
        <is>
          <t>Status</t>
        </is>
      </c>
    </row>
    <row r="27" ht="38" customHeight="1">
      <c r="A27" s="45" t="inlineStr">
        <is>
          <t>Low volume</t>
        </is>
      </c>
      <c r="B27" s="51" t="n">
        <v>300</v>
      </c>
      <c r="C27" s="52">
        <f>IF(B18="","TBD",$B27*B18/60)</f>
        <v/>
      </c>
      <c r="D27" s="52">
        <f>IF(B19="","TBD",$B27*B19/60)</f>
        <v/>
      </c>
      <c r="E27" s="52">
        <f>IF(B20="","TBD",$B27*B20/60)</f>
        <v/>
      </c>
      <c r="F27" s="52">
        <f>IF(B21="","TBD",$B27*B21/60)</f>
        <v/>
      </c>
      <c r="G27" s="53">
        <f>IF(COUNT($B$18:$B$21)&lt;4,"TBD",SUM(C27:F27))</f>
        <v/>
      </c>
      <c r="H27" s="54">
        <f>IF(OR(Inputs!$B$16="",COUNT($B$18:$B$21)&lt;4,COUNT($C$18:$C$21)&lt;4,G27="TBD"),"TBD",$B27/60*SUMPRODUCT($B$18:$B$21,$C$18:$C$21))</f>
        <v/>
      </c>
      <c r="I27" s="54">
        <f>IF(OR(Inputs!$B$16="",$B$22=""),"TBD",$B27*$B$22)</f>
        <v/>
      </c>
      <c r="J27" s="54">
        <f>IF(OR(H27="TBD",I27="TBD"),"TBD",H27+I27)</f>
        <v/>
      </c>
      <c r="K27" s="44">
        <f>IF(OR(G27="TBD",H27="TBD",I27="TBD"),"VOLUME SCENARIO ONLY — effort/rate/API inputs incomplete","SENSITIVITY ONLY — not a quote")</f>
        <v/>
      </c>
    </row>
    <row r="28" ht="38" customHeight="1">
      <c r="A28" s="45" t="inlineStr">
        <is>
          <t>Midpoint</t>
        </is>
      </c>
      <c r="B28" s="55">
        <f>AVERAGE(B27,B29)</f>
        <v/>
      </c>
      <c r="C28" s="52">
        <f>IF(B18="","TBD",$B28*B18/60)</f>
        <v/>
      </c>
      <c r="D28" s="52">
        <f>IF(B19="","TBD",$B28*B19/60)</f>
        <v/>
      </c>
      <c r="E28" s="52">
        <f>IF(B20="","TBD",$B28*B20/60)</f>
        <v/>
      </c>
      <c r="F28" s="52">
        <f>IF(B21="","TBD",$B28*B21/60)</f>
        <v/>
      </c>
      <c r="G28" s="53">
        <f>IF(COUNT($B$18:$B$21)&lt;4,"TBD",SUM(C28:F28))</f>
        <v/>
      </c>
      <c r="H28" s="54">
        <f>IF(OR(Inputs!$B$16="",COUNT($B$18:$B$21)&lt;4,COUNT($C$18:$C$21)&lt;4,G28="TBD"),"TBD",$B28/60*SUMPRODUCT($B$18:$B$21,$C$18:$C$21))</f>
        <v/>
      </c>
      <c r="I28" s="54">
        <f>IF(OR(Inputs!$B$16="",$B$22=""),"TBD",$B28*$B$22)</f>
        <v/>
      </c>
      <c r="J28" s="54">
        <f>IF(OR(H28="TBD",I28="TBD"),"TBD",H28+I28)</f>
        <v/>
      </c>
      <c r="K28" s="44">
        <f>IF(OR(G28="TBD",H28="TBD",I28="TBD"),"VOLUME SCENARIO ONLY — effort/rate/API inputs incomplete","SENSITIVITY ONLY — not a quote")</f>
        <v/>
      </c>
    </row>
    <row r="29" ht="38" customHeight="1">
      <c r="A29" s="45" t="inlineStr">
        <is>
          <t>High volume</t>
        </is>
      </c>
      <c r="B29" s="51" t="n">
        <v>500</v>
      </c>
      <c r="C29" s="52">
        <f>IF(B18="","TBD",$B29*B18/60)</f>
        <v/>
      </c>
      <c r="D29" s="52">
        <f>IF(B19="","TBD",$B29*B19/60)</f>
        <v/>
      </c>
      <c r="E29" s="52">
        <f>IF(B20="","TBD",$B29*B20/60)</f>
        <v/>
      </c>
      <c r="F29" s="52">
        <f>IF(B21="","TBD",$B29*B21/60)</f>
        <v/>
      </c>
      <c r="G29" s="53">
        <f>IF(COUNT($B$18:$B$21)&lt;4,"TBD",SUM(C29:F29))</f>
        <v/>
      </c>
      <c r="H29" s="54">
        <f>IF(OR(Inputs!$B$16="",COUNT($B$18:$B$21)&lt;4,COUNT($C$18:$C$21)&lt;4,G29="TBD"),"TBD",$B29/60*SUMPRODUCT($B$18:$B$21,$C$18:$C$21))</f>
        <v/>
      </c>
      <c r="I29" s="54">
        <f>IF(OR(Inputs!$B$16="",$B$22=""),"TBD",$B29*$B$22)</f>
        <v/>
      </c>
      <c r="J29" s="54">
        <f>IF(OR(H29="TBD",I29="TBD"),"TBD",H29+I29)</f>
        <v/>
      </c>
      <c r="K29" s="44">
        <f>IF(OR(G29="TBD",H29="TBD",I29="TBD"),"VOLUME SCENARIO ONLY — effort/rate/API inputs incomplete","SENSITIVITY ONLY — not a quote")</f>
        <v/>
      </c>
    </row>
    <row r="31" ht="48" customHeight="1">
      <c r="A31" s="56" t="inlineStr">
        <is>
          <t>Formula: stage hours = possible dossier count × measured average human minutes per dossier for that stage ÷ 60. Human labor subtotal = dossier count ÷ 60 × SUM(stage minutes per dossier × stage hourly rate). AI/API subtotal = dossier count × quoted/measured AI cost per dossier. Currency is taken from Inputs!B16.</t>
        </is>
      </c>
    </row>
    <row r="32" ht="66" customHeight="1">
      <c r="A32" s="57" t="inlineStr">
        <is>
          <t>Interpretation: 300 and 500 are user-provided possible workload bounds; 400 is their arithmetic midpoint, not a forecast. No processing minutes, hourly rates, or AI cost are prefilled, so hours and costs remain TBD until a permitted time study and supplier quote are entered. This calculator excludes software build, partner strategy/Trust &amp; Influence work, hosting, legal/privacy, tax, and ongoing operations. Possible paid community contributions are noted only and are not netted against costs.</t>
        </is>
      </c>
    </row>
    <row r="33" ht="48" customHeight="1">
      <c r="A33" s="56" t="inlineStr">
        <is>
          <t>Trust &amp; Influence preparation is a separate user-stated input of 2–3 working days. Conditional conversion for one preparer at the assumed 8-hour day is 16–24 person-hours; the arithmetic midpoint is 20 hours, not measured effort or an agreed fee. Facilitation, synthesis, model/protocol drafting, validation and training remain separate TBD items. Do not reuse withdrawn 15/30/60-minute dossier examples.</t>
        </is>
      </c>
    </row>
  </sheetData>
  <autoFilter ref="A5:F14"/>
  <mergeCells count="8">
    <mergeCell ref="A2:F2"/>
    <mergeCell ref="A16:F16"/>
    <mergeCell ref="A1:F1"/>
    <mergeCell ref="A25:K25"/>
    <mergeCell ref="A33:K33"/>
    <mergeCell ref="A4:F4"/>
    <mergeCell ref="A32:K32"/>
    <mergeCell ref="A31:K31"/>
  </mergeCells>
  <pageMargins left="0.75" right="0.75" top="1" bottom="1" header="0.5" footer="0.5"/>
  <pageSetup fitToHeight="0" fitToWidth="1"/>
</worksheet>
</file>

<file path=xl/worksheets/sheet9.xml><?xml version="1.0" encoding="utf-8"?>
<worksheet xmlns="http://schemas.openxmlformats.org/spreadsheetml/2006/main">
  <sheetPr>
    <outlinePr summaryBelow="1" summaryRight="1"/>
    <pageSetUpPr/>
  </sheetPr>
  <dimension ref="A1:H37"/>
  <sheetViews>
    <sheetView showGridLines="0" workbookViewId="0">
      <pane ySplit="4" topLeftCell="A5" activePane="bottomLeft" state="frozen"/>
      <selection pane="bottomLeft" activeCell="A1" sqref="A1"/>
    </sheetView>
  </sheetViews>
  <sheetFormatPr baseColWidth="8" defaultRowHeight="15"/>
  <cols>
    <col width="13" customWidth="1" min="1" max="1"/>
    <col width="43" customWidth="1" min="2" max="2"/>
    <col width="48" customWidth="1" min="3" max="3"/>
    <col width="20" customWidth="1" min="4" max="4"/>
    <col width="20" customWidth="1" min="5" max="5"/>
    <col width="20" customWidth="1" min="6" max="6"/>
    <col width="52" customWidth="1" min="7" max="7"/>
    <col width="58" customWidth="1" min="8" max="8"/>
  </cols>
  <sheetData>
    <row r="1">
      <c r="A1" s="58" t="inlineStr">
        <is>
          <t>Partner consulting and delivery effort — line-item scope</t>
        </is>
      </c>
    </row>
    <row r="2" ht="56" customHeight="1">
      <c r="A2" s="57" t="inlineStr">
        <is>
          <t>Working estimate scaffold, not a quotation. The only prefilled effort is Trust &amp; Influence session preparation: user-stated 2–3 working days. Conditional conversion for one preparer at the assumed 8-hour day: 16–24 person-hours; midpoint 20 hours. This is preparation only; all other hours and rates remain TBD.</t>
        </is>
      </c>
    </row>
    <row r="4">
      <c r="A4" s="47" t="inlineStr">
        <is>
          <t>A. Partner work packages and review responsibilities</t>
        </is>
      </c>
    </row>
    <row r="5">
      <c r="A5" s="48" t="inlineStr">
        <is>
          <t>ID</t>
        </is>
      </c>
      <c r="B5" s="48" t="inlineStr">
        <is>
          <t>Deliverable / work package</t>
        </is>
      </c>
      <c r="C5" s="48" t="inlineStr">
        <is>
          <t>Proposed executor / reviewer</t>
        </is>
      </c>
      <c r="D5" s="48" t="inlineStr">
        <is>
          <t>2-day conditional person-hours</t>
        </is>
      </c>
      <c r="E5" s="48" t="inlineStr">
        <is>
          <t>Arithmetic midpoint person-hours</t>
        </is>
      </c>
      <c r="F5" s="48" t="inlineStr">
        <is>
          <t>3-day conditional person-hours</t>
        </is>
      </c>
      <c r="G5" s="48" t="inlineStr">
        <is>
          <t>Status / estimate basis</t>
        </is>
      </c>
      <c r="H5" s="48" t="inlineStr">
        <is>
          <t>Dependency / acceptance output</t>
        </is>
      </c>
    </row>
    <row r="6" ht="67" customHeight="1">
      <c r="A6" s="45" t="inlineStr">
        <is>
          <t>TI-01</t>
        </is>
      </c>
      <c r="B6" s="45" t="inlineStr">
        <is>
          <t>Prepare Trust &amp; Influence strategic session</t>
        </is>
      </c>
      <c r="C6" s="45" t="inlineStr">
        <is>
          <t>Partner facilitator / preparation lead</t>
        </is>
      </c>
      <c r="D6" s="54">
        <f>2*Inputs!B40*Inputs!B41</f>
        <v/>
      </c>
      <c r="E6" s="49">
        <f>AVERAGE(D6,F6)</f>
        <v/>
      </c>
      <c r="F6" s="54">
        <f>3*Inputs!B40*Inputs!B41</f>
        <v/>
      </c>
      <c r="G6" s="45" t="inlineStr">
        <is>
          <t>16–24 conditional person-hours. Source: user-stated 2–3 working days; [ASSUMPTION] 8 h/day and one preparer. 20 hours is the arithmetic midpoint only, not measured effort or an agreed fee.</t>
        </is>
      </c>
      <c r="H6" s="45" t="inlineStr">
        <is>
          <t>Confirm workday length and number of preparers. Output: session brief, agenda, evidence questions and pre-read.</t>
        </is>
      </c>
    </row>
    <row r="7" ht="67" customHeight="1">
      <c r="A7" s="44" t="inlineStr">
        <is>
          <t>TI-02</t>
        </is>
      </c>
      <c r="B7" s="44" t="inlineStr">
        <is>
          <t>Facilitate Trust &amp; Influence strategic session</t>
        </is>
      </c>
      <c r="C7" s="44" t="inlineStr">
        <is>
          <t>Partner facilitator with client sponsor; client/board participate</t>
        </is>
      </c>
      <c r="D7" s="49" t="n"/>
      <c r="E7" s="49" t="n"/>
      <c r="F7" s="49" t="n"/>
      <c r="G7" s="44" t="inlineStr">
        <is>
          <t>TBD — session duration, format and participant count not set.</t>
        </is>
      </c>
      <c r="H7" s="44" t="inlineStr">
        <is>
          <t>Output: documented decisions, unresolved questions, and approved design principles.</t>
        </is>
      </c>
    </row>
    <row r="8" ht="67" customHeight="1">
      <c r="A8" s="45" t="inlineStr">
        <is>
          <t>TI-03</t>
        </is>
      </c>
      <c r="B8" s="45" t="inlineStr">
        <is>
          <t>Synthesize and document session decisions</t>
        </is>
      </c>
      <c r="C8" s="45" t="inlineStr">
        <is>
          <t>Partner facilitator / rapporteur; client validates</t>
        </is>
      </c>
      <c r="D8" s="49" t="n"/>
      <c r="E8" s="49" t="n"/>
      <c r="F8" s="49" t="n"/>
      <c r="G8" s="45" t="inlineStr">
        <is>
          <t>TBD — hours and format not set.</t>
        </is>
      </c>
      <c r="H8" s="45" t="inlineStr">
        <is>
          <t>Output: decision log and next-step ownership, reviewed by client.</t>
        </is>
      </c>
    </row>
    <row r="9" ht="67" customHeight="1">
      <c r="A9" s="44" t="inlineStr">
        <is>
          <t>TI-04</t>
        </is>
      </c>
      <c r="B9" s="44" t="inlineStr">
        <is>
          <t>Co-design Trust &amp; Influence index/model</t>
        </is>
      </c>
      <c r="C9" s="44" t="inlineStr">
        <is>
          <t>Partners and client jointly; client owns applicability decision</t>
        </is>
      </c>
      <c r="D9" s="49" t="n"/>
      <c r="E9" s="49" t="n"/>
      <c r="F9" s="49" t="n"/>
      <c r="G9" s="44" t="inlineStr">
        <is>
          <t>TBD — construct, domains, evidence standards and validation scope not set.</t>
        </is>
      </c>
      <c r="H9" s="44" t="inlineStr">
        <is>
          <t>Output: versioned model and explicit limits; not a sector-validated standard absent validation.</t>
        </is>
      </c>
    </row>
    <row r="10" ht="67" customHeight="1">
      <c r="A10" s="45" t="inlineStr">
        <is>
          <t>TI-05</t>
        </is>
      </c>
      <c r="B10" s="45" t="inlineStr">
        <is>
          <t>Draft the assessment protocol, evidence rules and correction/appeal path</t>
        </is>
      </c>
      <c r="C10" s="45" t="inlineStr">
        <is>
          <t>Partners draft; client approves; designated reviewers apply</t>
        </is>
      </c>
      <c r="D10" s="49" t="n"/>
      <c r="E10" s="49" t="n"/>
      <c r="F10" s="49" t="n"/>
      <c r="G10" s="45" t="inlineStr">
        <is>
          <t>TBD — evidence types, governance, correction workflow and validation effort not set.</t>
        </is>
      </c>
      <c r="H10" s="45" t="inlineStr">
        <is>
          <t>Output: repeatable protocol, audit trail, conflict handling and review criteria.</t>
        </is>
      </c>
    </row>
    <row r="11" ht="67" customHeight="1">
      <c r="A11" s="44" t="inlineStr">
        <is>
          <t>TI-06</t>
        </is>
      </c>
      <c r="B11" s="44" t="inlineStr">
        <is>
          <t>Select practice leaders and regional representatives for reviewer group</t>
        </is>
      </c>
      <c r="C11" s="44" t="inlineStr">
        <is>
          <t>Client/board selects; partners facilitate criteria and process</t>
        </is>
      </c>
      <c r="D11" s="49" t="n"/>
      <c r="E11" s="49" t="n"/>
      <c r="F11" s="49" t="n"/>
      <c r="G11" s="44" t="inlineStr">
        <is>
          <t>TBD — number, selection criteria, availability and conflicts not set.</t>
        </is>
      </c>
      <c r="H11" s="44" t="inlineStr">
        <is>
          <t>Selection follows model/protocol draft; client/board approves participants.</t>
        </is>
      </c>
    </row>
    <row r="12" ht="67" customHeight="1">
      <c r="A12" s="45" t="inlineStr">
        <is>
          <t>TI-07</t>
        </is>
      </c>
      <c r="B12" s="45" t="inlineStr">
        <is>
          <t>Prepare training and materials for reviewer group</t>
        </is>
      </c>
      <c r="C12" s="45" t="inlineStr">
        <is>
          <t>Partner trainers; client confirms learning objectives</t>
        </is>
      </c>
      <c r="D12" s="49" t="n"/>
      <c r="E12" s="49" t="n"/>
      <c r="F12" s="49" t="n"/>
      <c r="G12" s="45" t="inlineStr">
        <is>
          <t>TBD — baseline knowledge and curriculum depth unknown.</t>
        </is>
      </c>
      <c r="H12" s="45" t="inlineStr">
        <is>
          <t>Assess whether participants already know the material; size training accordingly.</t>
        </is>
      </c>
    </row>
    <row r="13" ht="67" customHeight="1">
      <c r="A13" s="44" t="inlineStr">
        <is>
          <t>TI-08</t>
        </is>
      </c>
      <c r="B13" s="44" t="inlineStr">
        <is>
          <t>Deliver reviewer orientation/training</t>
        </is>
      </c>
      <c r="C13" s="44" t="inlineStr">
        <is>
          <t>Partner trainers; selected practice leaders/regional representatives attend</t>
        </is>
      </c>
      <c r="D13" s="49" t="n"/>
      <c r="E13" s="49" t="n"/>
      <c r="F13" s="49" t="n"/>
      <c r="G13" s="44" t="inlineStr">
        <is>
          <t>TBD — cohort size, duration, practice exercises and follow-up unknown.</t>
        </is>
      </c>
      <c r="H13" s="44" t="inlineStr">
        <is>
          <t>Output: attendees oriented to model/protocol; completion is not proof of sector-wide validity.</t>
        </is>
      </c>
    </row>
    <row r="14" ht="67" customHeight="1">
      <c r="A14" s="45" t="inlineStr">
        <is>
          <t>TI-09</t>
        </is>
      </c>
      <c r="B14" s="45" t="inlineStr">
        <is>
          <t>Apply model/protocol to expert reviews and adjudicate exceptions</t>
        </is>
      </c>
      <c r="C14" s="45" t="inlineStr">
        <is>
          <t>Selected trained practice leaders/regional representatives perform substantive review; partners coordinate QA; client/board retain policy decisions</t>
        </is>
      </c>
      <c r="D14" s="49" t="n"/>
      <c r="E14" s="49" t="n"/>
      <c r="F14" s="49" t="n"/>
      <c r="G14" s="45" t="inlineStr">
        <is>
          <t>TBD — dossier count, review depth, sampling and escalation rules unknown.</t>
        </is>
      </c>
      <c r="H14" s="45" t="inlineStr">
        <is>
          <t>Human review only under approved protocol; separate evidence review from final client/board decisions.</t>
        </is>
      </c>
    </row>
    <row r="15" ht="67" customHeight="1">
      <c r="A15" s="44" t="inlineStr">
        <is>
          <t>STR-01</t>
        </is>
      </c>
      <c r="B15" s="44" t="inlineStr">
        <is>
          <t>Prepare and facilitate additional client strategy sessions</t>
        </is>
      </c>
      <c r="C15" s="44" t="inlineStr">
        <is>
          <t>Partner strategy lead; client sponsor and board as agreed</t>
        </is>
      </c>
      <c r="D15" s="49" t="n"/>
      <c r="E15" s="49" t="n"/>
      <c r="F15" s="49" t="n"/>
      <c r="G15" s="44" t="inlineStr">
        <is>
          <t>TBD — number and duration of sessions beyond TI-01 not set.</t>
        </is>
      </c>
      <c r="H15" s="44" t="inlineStr">
        <is>
          <t>Output: prioritized strategic questions, decisions and owners.</t>
        </is>
      </c>
    </row>
    <row r="16" ht="67" customHeight="1">
      <c r="A16" s="45" t="inlineStr">
        <is>
          <t>STR-02</t>
        </is>
      </c>
      <c r="B16" s="45" t="inlineStr">
        <is>
          <t>Prioritize development directions and expertise gaps using the tool</t>
        </is>
      </c>
      <c r="C16" s="45" t="inlineStr">
        <is>
          <t>Partner facilitator with client/practice leads</t>
        </is>
      </c>
      <c r="D16" s="49" t="n"/>
      <c r="E16" s="49" t="n"/>
      <c r="F16" s="49" t="n"/>
      <c r="G16" s="45" t="inlineStr">
        <is>
          <t>TBD — scope and number of domains not set.</t>
        </is>
      </c>
      <c r="H16" s="45" t="inlineStr">
        <is>
          <t>Output: ranked priorities with rationale; priorities are client decisions.</t>
        </is>
      </c>
    </row>
    <row r="17" ht="67" customHeight="1">
      <c r="A17" s="44" t="inlineStr">
        <is>
          <t>STR-03</t>
        </is>
      </c>
      <c r="B17" s="44" t="inlineStr">
        <is>
          <t>Set criteria and process to review existing network experts</t>
        </is>
      </c>
      <c r="C17" s="44" t="inlineStr">
        <is>
          <t>Partners propose; client approves; trained reviewers execute</t>
        </is>
      </c>
      <c r="D17" s="49" t="n"/>
      <c r="E17" s="49" t="n"/>
      <c r="F17" s="49" t="n"/>
      <c r="G17" s="44" t="inlineStr">
        <is>
          <t>TBD — source data, criteria, sample and review effort not set.</t>
        </is>
      </c>
      <c r="H17" s="44" t="inlineStr">
        <is>
          <t>Output: approved review plan and evidence/consent boundaries.</t>
        </is>
      </c>
    </row>
    <row r="18" ht="67" customHeight="1">
      <c r="A18" s="45" t="inlineStr">
        <is>
          <t>STR-04</t>
        </is>
      </c>
      <c r="B18" s="45" t="inlineStr">
        <is>
          <t>Prepare community questionnaire and campaign materials</t>
        </is>
      </c>
      <c r="C18" s="45" t="inlineStr">
        <is>
          <t>Partner operations/communications; client privacy owner approves</t>
        </is>
      </c>
      <c r="D18" s="49" t="n"/>
      <c r="E18" s="49" t="n"/>
      <c r="F18" s="49" t="n"/>
      <c r="G18" s="45" t="inlineStr">
        <is>
          <t>TBD — channel, notice, translations and assets not finalized.</t>
        </is>
      </c>
      <c r="H18" s="45" t="inlineStr">
        <is>
          <t>Output: approved survey and outreach pack; no distribution before privacy/channel approval.</t>
        </is>
      </c>
    </row>
    <row r="19" ht="67" customHeight="1">
      <c r="A19" s="44" t="inlineStr">
        <is>
          <t>STR-05</t>
        </is>
      </c>
      <c r="B19" s="44" t="inlineStr">
        <is>
          <t>Coordinate and operate approved outreach/survey campaign</t>
        </is>
      </c>
      <c r="C19" s="44" t="inlineStr">
        <is>
          <t>Partner operations; client/channel administrator authorizes</t>
        </is>
      </c>
      <c r="D19" s="49" t="n"/>
      <c r="E19" s="49" t="n"/>
      <c r="F19" s="49" t="n"/>
      <c r="G19" s="44" t="inlineStr">
        <is>
          <t>TBD — reachable audience, channel authority, duration and response volume unknown.</t>
        </is>
      </c>
      <c r="H19" s="44" t="inlineStr">
        <is>
          <t>No scraping or automated social-platform outreach assumed.</t>
        </is>
      </c>
    </row>
    <row r="20" ht="67" customHeight="1">
      <c r="A20" s="45" t="inlineStr">
        <is>
          <t>STR-06</t>
        </is>
      </c>
      <c r="B20" s="45" t="inlineStr">
        <is>
          <t>Analyze responses and prepare client/board findings</t>
        </is>
      </c>
      <c r="C20" s="45" t="inlineStr">
        <is>
          <t>Partner analyst; client validates outcomes and baselines</t>
        </is>
      </c>
      <c r="D20" s="49" t="n"/>
      <c r="E20" s="49" t="n"/>
      <c r="F20" s="49" t="n"/>
      <c r="G20" s="45" t="inlineStr">
        <is>
          <t>TBD — response volume, baseline, observation period and report depth unknown.</t>
        </is>
      </c>
      <c r="H20" s="45" t="inlineStr">
        <is>
          <t>Distinguish observed associations from causal claims; report application need and feature evidence.</t>
        </is>
      </c>
    </row>
    <row r="21" ht="67" customHeight="1">
      <c r="A21" s="44" t="inlineStr">
        <is>
          <t>OPS-01</t>
        </is>
      </c>
      <c r="B21" s="44" t="inlineStr">
        <is>
          <t>Client support and decision coordination</t>
        </is>
      </c>
      <c r="C21" s="44" t="inlineStr">
        <is>
          <t>Named partner account lead; client sponsor/board decide</t>
        </is>
      </c>
      <c r="D21" s="49" t="n"/>
      <c r="E21" s="49" t="n"/>
      <c r="F21" s="49" t="n"/>
      <c r="G21" s="44" t="inlineStr">
        <is>
          <t>TBD — duration, cadence and decision volume unknown.</t>
        </is>
      </c>
      <c r="H21" s="44" t="inlineStr">
        <is>
          <t>Track decisions, approvals, risks and change requests; do not bury project-specific effort in general overhead.</t>
        </is>
      </c>
    </row>
    <row r="22" ht="67" customHeight="1">
      <c r="A22" s="45" t="inlineStr">
        <is>
          <t>OPS-02</t>
        </is>
      </c>
      <c r="B22" s="45" t="inlineStr">
        <is>
          <t>Pilot operational coordination (excluding dossier minutes until measured)</t>
        </is>
      </c>
      <c r="C22" s="45" t="inlineStr">
        <is>
          <t>Partner operations lead; designated client reviewers</t>
        </is>
      </c>
      <c r="D22" s="49" t="n"/>
      <c r="E22" s="49" t="n"/>
      <c r="F22" s="49" t="n"/>
      <c r="G22" s="45" t="inlineStr">
        <is>
          <t>TBD — cohort workflow, staffing, exception volume and service levels unknown.</t>
        </is>
      </c>
      <c r="H22" s="45" t="inlineStr">
        <is>
          <t>Dossier labor must be measured by stage in a permitted pilot time study.</t>
        </is>
      </c>
    </row>
    <row r="23" ht="67" customHeight="1">
      <c r="A23" s="44" t="inlineStr">
        <is>
          <t>OPS-03</t>
        </is>
      </c>
      <c r="B23" s="44" t="inlineStr">
        <is>
          <t>Developer coordination, scope and acceptance</t>
        </is>
      </c>
      <c r="C23" s="44" t="inlineStr">
        <is>
          <t>Partner product owner; developer delivery lead; client accepts</t>
        </is>
      </c>
      <c r="D23" s="49" t="n"/>
      <c r="E23" s="49" t="n"/>
      <c r="F23" s="49" t="n"/>
      <c r="G23" s="44" t="inlineStr">
        <is>
          <t>TBD — cadence and responsibility split versus supplier PM not agreed.</t>
        </is>
      </c>
      <c r="H23" s="44" t="inlineStr">
        <is>
          <t>Prevent double counting if delivery management is included in supplier quote.</t>
        </is>
      </c>
    </row>
    <row r="26">
      <c r="A26" s="47" t="inlineStr">
        <is>
          <t>B. Effort roll-up and overhead ratio — calculate after estimates are supplied</t>
        </is>
      </c>
    </row>
    <row r="27">
      <c r="A27" s="48" t="inlineStr">
        <is>
          <t>Metric</t>
        </is>
      </c>
      <c r="B27" s="48" t="inlineStr">
        <is>
          <t>Value / formula</t>
        </is>
      </c>
      <c r="C27" s="48" t="inlineStr">
        <is>
          <t>Unit</t>
        </is>
      </c>
      <c r="D27" s="48" t="inlineStr">
        <is>
          <t>Method / caveat</t>
        </is>
      </c>
    </row>
    <row r="28" ht="44" customHeight="1">
      <c r="A28" s="45" t="inlineStr">
        <is>
          <t>Known conditional preparation — Low</t>
        </is>
      </c>
      <c r="B28" s="54">
        <f>SUM(D6:D6)</f>
        <v/>
      </c>
      <c r="C28" s="45" t="inlineStr">
        <is>
          <t>person-hours</t>
        </is>
      </c>
      <c r="D28" s="60" t="inlineStr">
        <is>
          <t>Includes TI-01 only; one person and 8-hour workday assumptions.</t>
        </is>
      </c>
      <c r="E28" s="59" t="n"/>
      <c r="F28" s="59" t="n"/>
      <c r="G28" s="59" t="n"/>
      <c r="H28" s="59" t="n"/>
    </row>
    <row r="29" ht="44" customHeight="1">
      <c r="A29" s="44" t="inlineStr">
        <is>
          <t>Known conditional preparation — High</t>
        </is>
      </c>
      <c r="B29" s="54">
        <f>SUM(F6:F6)</f>
        <v/>
      </c>
      <c r="C29" s="44" t="inlineStr">
        <is>
          <t>person-hours</t>
        </is>
      </c>
      <c r="D29" s="61" t="inlineStr">
        <is>
          <t>Includes TI-01 only; one person and 8-hour workday assumptions.</t>
        </is>
      </c>
      <c r="E29" s="59" t="n"/>
      <c r="F29" s="59" t="n"/>
      <c r="G29" s="59" t="n"/>
      <c r="H29" s="59" t="n"/>
    </row>
    <row r="30" ht="44" customHeight="1">
      <c r="A30" s="45" t="inlineStr">
        <is>
          <t>All other partner delivery hours</t>
        </is>
      </c>
      <c r="B30" s="49" t="inlineStr">
        <is>
          <t>TBD until line-item estimates are agreed</t>
        </is>
      </c>
      <c r="C30" s="45" t="inlineStr">
        <is>
          <t>person-hours</t>
        </is>
      </c>
      <c r="D30" s="60" t="inlineStr">
        <is>
          <t>Do not treat blank effort cells as zero.</t>
        </is>
      </c>
      <c r="E30" s="59" t="n"/>
      <c r="F30" s="59" t="n"/>
      <c r="G30" s="59" t="n"/>
      <c r="H30" s="59" t="n"/>
    </row>
    <row r="31" ht="44" customHeight="1">
      <c r="A31" s="44" t="inlineStr">
        <is>
          <t>Developer delivery hours for same agreed scope</t>
        </is>
      </c>
      <c r="B31" s="44" t="inlineStr">
        <is>
          <t>TBD pending reconciled residual-software estimate</t>
        </is>
      </c>
      <c r="C31" s="44" t="inlineStr">
        <is>
          <t>person-hours</t>
        </is>
      </c>
      <c r="D31" s="61" t="inlineStr">
        <is>
          <t>Use the same scope boundary and exclude unrelated greenfield work.</t>
        </is>
      </c>
      <c r="E31" s="59" t="n"/>
      <c r="F31" s="59" t="n"/>
      <c r="G31" s="59" t="n"/>
      <c r="H31" s="59" t="n"/>
    </row>
    <row r="32" ht="44" customHeight="1">
      <c r="A32" s="45" t="inlineStr">
        <is>
          <t>Project-specific partner/developer effort ratio</t>
        </is>
      </c>
      <c r="B32" s="45" t="inlineStr">
        <is>
          <t>TBD — partner delivery hours ÷ developer delivery hours</t>
        </is>
      </c>
      <c r="C32" s="45" t="inlineStr">
        <is>
          <t>ratio</t>
        </is>
      </c>
      <c r="D32" s="60" t="inlineStr">
        <is>
          <t>This ratio is an outcome of scoped estimates, not a norm; state its denominator when reporting.</t>
        </is>
      </c>
      <c r="E32" s="59" t="n"/>
      <c r="F32" s="59" t="n"/>
      <c r="G32" s="59" t="n"/>
      <c r="H32" s="59" t="n"/>
    </row>
    <row r="33" ht="44" customHeight="1">
      <c r="A33" s="44" t="inlineStr">
        <is>
          <t>Partner share of combined delivery hours</t>
        </is>
      </c>
      <c r="B33" s="44" t="inlineStr">
        <is>
          <t>TBD — partner delivery hours ÷ (partner + developer hours)</t>
        </is>
      </c>
      <c r="C33" s="44" t="inlineStr">
        <is>
          <t>ratio</t>
        </is>
      </c>
      <c r="D33" s="61" t="inlineStr">
        <is>
          <t>Different denominator from partner/developer ratio; do not call either one general company overhead.</t>
        </is>
      </c>
      <c r="E33" s="59" t="n"/>
      <c r="F33" s="59" t="n"/>
      <c r="G33" s="59" t="n"/>
      <c r="H33" s="59" t="n"/>
    </row>
    <row r="34" ht="44" customHeight="1">
      <c r="A34" s="45" t="inlineStr">
        <is>
          <t>Partner rate / fee basis</t>
        </is>
      </c>
      <c r="B34" s="45" t="inlineStr">
        <is>
          <t>TBD — partner agreement by role or deliverable</t>
        </is>
      </c>
      <c r="C34" s="45" t="inlineStr">
        <is>
          <t>contract currency/person-hour or fixed fee</t>
        </is>
      </c>
      <c r="D34" s="60" t="inlineStr">
        <is>
          <t>Rates and currency must be agreed and attributed; client-specific delivery effort is not hidden in general overhead.</t>
        </is>
      </c>
      <c r="E34" s="59" t="n"/>
      <c r="F34" s="59" t="n"/>
      <c r="G34" s="59" t="n"/>
      <c r="H34" s="59" t="n"/>
    </row>
    <row r="35" ht="44" customHeight="1">
      <c r="A35" s="44" t="inlineStr">
        <is>
          <t>Supplier all-in quote comparison</t>
        </is>
      </c>
      <c r="B35" s="44" t="inlineStr">
        <is>
          <t>TBD — quote for same scope, acceptance, IP and support boundary</t>
        </is>
      </c>
      <c r="C35" s="44" t="inlineStr">
        <is>
          <t>contract currency / project</t>
        </is>
      </c>
      <c r="D35" s="61" t="inlineStr">
        <is>
          <t>Compare against verified developer direct costs + partner project fees + approved external expenses; difference does not identify overhead or margin separately.</t>
        </is>
      </c>
      <c r="E35" s="59" t="n"/>
      <c r="F35" s="59" t="n"/>
      <c r="G35" s="59" t="n"/>
      <c r="H35" s="59" t="n"/>
    </row>
    <row r="37" ht="54" customHeight="1">
      <c r="A37" s="57" t="inlineStr">
        <is>
          <t>Rates currently shown on Inputs (Clutch provider-directory bands) are market-reference sensitivities for the historical 13-package estimate, not developer salaries, selected supplier rates or partner rates. Paid community contributions remain a note only: no contributor count, fee, gross amount, revenue, offset or client-price reduction is assumed.</t>
        </is>
      </c>
    </row>
  </sheetData>
  <autoFilter ref="A5:H23"/>
  <mergeCells count="13">
    <mergeCell ref="A4:H4"/>
    <mergeCell ref="D35:H35"/>
    <mergeCell ref="A26:H26"/>
    <mergeCell ref="D30:H30"/>
    <mergeCell ref="D34:H34"/>
    <mergeCell ref="A2:H2"/>
    <mergeCell ref="D32:H32"/>
    <mergeCell ref="D33:H33"/>
    <mergeCell ref="D28:H28"/>
    <mergeCell ref="D29:H29"/>
    <mergeCell ref="D31:H31"/>
    <mergeCell ref="A1:H1"/>
    <mergeCell ref="A37:H3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4"/>
  <sheetViews>
    <sheetView showGridLines="0" workbookViewId="0">
      <pane ySplit="4" topLeftCell="A5" activePane="bottomLeft" state="frozen"/>
      <selection pane="bottomLeft" activeCell="A1" sqref="A1"/>
    </sheetView>
  </sheetViews>
  <sheetFormatPr baseColWidth="8" defaultRowHeight="15"/>
  <cols>
    <col width="31" customWidth="1" min="1" max="1"/>
    <col width="38" customWidth="1" min="2" max="2"/>
    <col width="56" customWidth="1" min="3" max="3"/>
    <col width="57" customWidth="1" min="4" max="4"/>
    <col width="29" customWidth="1" min="5" max="5"/>
    <col width="25" customWidth="1" min="6" max="6"/>
    <col width="55" customWidth="1" min="7" max="7"/>
    <col width="24" customWidth="1" min="8" max="8"/>
    <col width="58" customWidth="1" min="9" max="9"/>
    <col width="38" customWidth="1" min="10" max="10"/>
  </cols>
  <sheetData>
    <row r="1" ht="26" customHeight="1">
      <c r="A1" s="62" t="inlineStr">
        <is>
          <t>Market rate references — not a project quotation</t>
        </is>
      </c>
    </row>
    <row r="2" ht="35" customHeight="1">
      <c r="A2" s="63" t="inlineStr">
        <is>
          <t>Country/provider-company listings and UK contractor day rates are different comparison classes. No scope hours, project totals, foreign-exchange conversion, or partner/developer quote is inferred here.</t>
        </is>
      </c>
    </row>
    <row r="4" ht="42" customHeight="1">
      <c r="A4" s="64" t="inlineStr">
        <is>
          <t>Jurisdiction</t>
        </is>
      </c>
      <c r="B4" s="64" t="inlineStr">
        <is>
          <t>Comparator class</t>
        </is>
      </c>
      <c r="C4" s="64" t="inlineStr">
        <is>
          <t>Low (source)</t>
        </is>
      </c>
      <c r="D4" s="64" t="inlineStr">
        <is>
          <t>High (source)</t>
        </is>
      </c>
      <c r="E4" s="64" t="inlineStr">
        <is>
          <t>Source unit</t>
        </is>
      </c>
      <c r="F4" s="64" t="inlineStr">
        <is>
          <t>Low normalized</t>
        </is>
      </c>
      <c r="G4" s="64" t="inlineStr">
        <is>
          <t>High normalized</t>
        </is>
      </c>
      <c r="H4" s="64" t="inlineStr">
        <is>
          <t>Normalized unit</t>
        </is>
      </c>
      <c r="I4" s="64" t="inlineStr">
        <is>
          <t>Formula / limitation</t>
        </is>
      </c>
      <c r="J4" s="64" t="inlineStr">
        <is>
          <t>Source and period</t>
        </is>
      </c>
    </row>
    <row r="5" ht="60" customHeight="1">
      <c r="A5" s="65" t="inlineStr">
        <is>
          <t>United States</t>
        </is>
      </c>
      <c r="B5" s="65" t="inlineStr">
        <is>
          <t>Clutch software-development provider companies</t>
        </is>
      </c>
      <c r="C5" s="66" t="n">
        <v>50</v>
      </c>
      <c r="D5" s="66" t="n">
        <v>99</v>
      </c>
      <c r="E5" s="65" t="inlineStr">
        <is>
          <t>USD/provider-hour</t>
        </is>
      </c>
      <c r="F5" s="67">
        <f>C5</f>
        <v/>
      </c>
      <c r="G5" s="67">
        <f>D5</f>
        <v/>
      </c>
      <c r="H5" s="65" t="inlineStr">
        <is>
          <t>USD/provider-hour</t>
        </is>
      </c>
      <c r="I5" s="65" t="inlineStr">
        <is>
          <t>Published band; directory benchmark, not a supplier quote or national floor/ceiling.</t>
        </is>
      </c>
      <c r="J5" s="68" t="inlineStr">
        <is>
          <t>Clutch pricing guide; updated 21 Sep 2026</t>
        </is>
      </c>
    </row>
    <row r="6" ht="60" customHeight="1">
      <c r="A6" s="65" t="inlineStr">
        <is>
          <t>Ukraine</t>
        </is>
      </c>
      <c r="B6" s="65" t="inlineStr">
        <is>
          <t>Clutch software-development provider companies</t>
        </is>
      </c>
      <c r="C6" s="66" t="n">
        <v>25</v>
      </c>
      <c r="D6" s="66" t="n">
        <v>49</v>
      </c>
      <c r="E6" s="65" t="inlineStr">
        <is>
          <t>USD/provider-hour</t>
        </is>
      </c>
      <c r="F6" s="67">
        <f>C6</f>
        <v/>
      </c>
      <c r="G6" s="67">
        <f>D6</f>
        <v/>
      </c>
      <c r="H6" s="65" t="inlineStr">
        <is>
          <t>USD/provider-hour</t>
        </is>
      </c>
      <c r="I6" s="65" t="inlineStr">
        <is>
          <t>Published band; directory benchmark, not a supplier quote or national floor/ceiling.</t>
        </is>
      </c>
      <c r="J6" s="68" t="inlineStr">
        <is>
          <t>Clutch pricing guide; updated 21 Sep 2026</t>
        </is>
      </c>
    </row>
    <row r="7" ht="60" customHeight="1">
      <c r="A7" s="65" t="inlineStr">
        <is>
          <t>United Kingdom</t>
        </is>
      </c>
      <c r="B7" s="65" t="inlineStr">
        <is>
          <t>Clutch country-level provider-company data</t>
        </is>
      </c>
      <c r="C7" s="66" t="n"/>
      <c r="D7" s="66" t="n"/>
      <c r="E7" s="65" t="inlineStr">
        <is>
          <t>USD/provider-hour</t>
        </is>
      </c>
      <c r="F7" s="69" t="n"/>
      <c r="G7" s="69" t="n"/>
      <c r="H7" s="65" t="inlineStr">
        <is>
          <t>Not available</t>
        </is>
      </c>
      <c r="I7" s="65" t="inlineStr">
        <is>
          <t>Clutch reports “Unknown”; no country-level provider rate is imputed.</t>
        </is>
      </c>
      <c r="J7" s="68" t="inlineStr">
        <is>
          <t>Clutch pricing guide; updated 21 Sep 2026</t>
        </is>
      </c>
    </row>
    <row r="8" ht="60" customHeight="1">
      <c r="A8" s="65" t="inlineStr">
        <is>
          <t>United Kingdom</t>
        </is>
      </c>
      <c r="B8" s="65" t="inlineStr">
        <is>
          <t>Lorien software-engineer contractors (separate class)</t>
        </is>
      </c>
      <c r="C8" s="66" t="n">
        <v>400</v>
      </c>
      <c r="D8" s="66" t="n">
        <v>550</v>
      </c>
      <c r="E8" s="65" t="inlineStr">
        <is>
          <t>GBP/contractor-day</t>
        </is>
      </c>
      <c r="F8" s="67">
        <f>C8/7.5</f>
        <v/>
      </c>
      <c r="G8" s="67">
        <f>D8/7.5</f>
        <v/>
      </c>
      <c r="H8" s="65" t="inlineStr">
        <is>
          <t>GBP/contractor-hour</t>
        </is>
      </c>
      <c r="I8" s="65" t="inlineStr">
        <is>
          <t>Formula: GBP/contractor-day ÷ 7.5 hours/day. Contractor benchmark is not comparable to an all-in provider-company rate.</t>
        </is>
      </c>
      <c r="J8" s="68" t="inlineStr">
        <is>
          <t>Lorien 2026 UK contractor-rate guide</t>
        </is>
      </c>
    </row>
    <row r="9" ht="58" customHeight="1">
      <c r="A9" s="65" t="inlineStr">
        <is>
          <t>United Kingdom</t>
        </is>
      </c>
      <c r="B9" s="65" t="inlineStr">
        <is>
          <t>IT Jobs Watch Software Engineer contractor vacancies (10th–90th percentile; not provider-company rate)</t>
        </is>
      </c>
      <c r="C9" s="66">
        <f>Source_Register!B28</f>
        <v/>
      </c>
      <c r="D9" s="66">
        <f>Source_Register!B30</f>
        <v/>
      </c>
      <c r="E9" s="65" t="inlineStr">
        <is>
          <t>GBP/contractor-day</t>
        </is>
      </c>
      <c r="F9" s="67">
        <f>C9/Source_Register!B24</f>
        <v/>
      </c>
      <c r="G9" s="67">
        <f>D9/Source_Register!B24</f>
        <v/>
      </c>
      <c r="H9" s="65" t="inlineStr">
        <is>
          <t>GBP/contractor-hour</t>
        </is>
      </c>
      <c r="I9" s="65" t="inlineStr">
        <is>
          <t>Published daily-rate percentiles ÷ Source_Register!B24 (7.5 hours/day from Lorien). Normalized comparison only; unlike provider-company pricing.</t>
        </is>
      </c>
      <c r="J9" s="68" t="inlineStr">
        <is>
          <t>IT Jobs Watch, six months to 2 Oct 2026; 518 daily rates; 10th / median / 90th: £389 / £555 / £750. https://www.itjobswatch.co.uk/contracts/uk/software%20engineer.do</t>
        </is>
      </c>
    </row>
    <row r="11">
      <c r="A11" s="70" t="inlineStr">
        <is>
          <t>Pricing structures to discuss — selected to fit scope certainty, not asserted as a universal sector standard</t>
        </is>
      </c>
    </row>
    <row r="13" ht="36" customHeight="1">
      <c r="A13" s="71" t="inlineStr">
        <is>
          <t>Structure</t>
        </is>
      </c>
      <c r="B13" s="71" t="inlineStr">
        <is>
          <t>Use when</t>
        </is>
      </c>
      <c r="C13" s="71" t="inlineStr">
        <is>
          <t>Proposed application here</t>
        </is>
      </c>
      <c r="D13" s="71" t="inlineStr">
        <is>
          <t>Controls / risks</t>
        </is>
      </c>
      <c r="E13" s="71" t="inlineStr">
        <is>
          <t>UK guidance</t>
        </is>
      </c>
      <c r="F13" s="71" t="inlineStr">
        <is>
          <t>US guidance</t>
        </is>
      </c>
      <c r="G13" s="71" t="inlineStr">
        <is>
          <t>Applicability / caveat</t>
        </is>
      </c>
    </row>
    <row r="14" ht="64" customHeight="1">
      <c r="A14" s="24" t="inlineStr">
        <is>
          <t>Fixed price by accepted deliverable/milestone</t>
        </is>
      </c>
      <c r="B14" s="24" t="inlineStr">
        <is>
          <t>Scope, outputs, and acceptance criteria are sufficiently defined.</t>
        </is>
      </c>
      <c r="C14" s="24" t="inlineStr">
        <is>
          <t>Use for verified demo-readiness items or residual software packages only after code review and acceptance criteria are agreed.</t>
        </is>
      </c>
      <c r="D14" s="24" t="inlineStr">
        <is>
          <t>Change control; explicit exclusions; milestone acceptance must include security, accessibility, QA and handover where in scope.</t>
        </is>
      </c>
      <c r="E14" s="72" t="inlineStr">
        <is>
          <t>UK DDT Playbook</t>
        </is>
      </c>
      <c r="F14" s="72" t="inlineStr">
        <is>
          <t>US FAR 16.103</t>
        </is>
      </c>
      <c r="G14" s="24" t="inlineStr">
        <is>
          <t>Use only for defined deliverables; no project price implied.</t>
        </is>
      </c>
    </row>
    <row r="15" ht="64" customHeight="1">
      <c r="A15" s="24" t="inlineStr">
        <is>
          <t>Capped time and materials for discovery/pilot</t>
        </is>
      </c>
      <c r="B15" s="24" t="inlineStr">
        <is>
          <t>Effort or duration cannot yet be estimated with reasonable confidence.</t>
        </is>
      </c>
      <c r="C15" s="24" t="inlineStr">
        <is>
          <t>Use only for the bounded live dossier workflow measurement or discovery, with a not-to-exceed cap and stop/go approval.</t>
        </is>
      </c>
      <c r="D15" s="24" t="inlineStr">
        <is>
          <t>Named roles/rates; timesheets; approved activity; cap; review cadence; client oversight. T&amp;M can weaken cost-efficiency incentives.</t>
        </is>
      </c>
      <c r="E15" s="72" t="inlineStr">
        <is>
          <t>UK Contracting for Agile</t>
        </is>
      </c>
      <c r="F15" s="72" t="inlineStr">
        <is>
          <t>US FAR Part 16</t>
        </is>
      </c>
      <c r="G15" s="24" t="inlineStr">
        <is>
          <t>Pilot/discovery only with cap, tracking and client oversight.</t>
        </is>
      </c>
    </row>
    <row r="16" ht="64" customHeight="1">
      <c r="A16" s="24" t="inlineStr">
        <is>
          <t>Hybrid: fixed known outcomes + capped variable work</t>
        </is>
      </c>
      <c r="B16" s="24" t="inlineStr">
        <is>
          <t>Some outputs are clear while research, operational throughput, or requirements remain uncertain.</t>
        </is>
      </c>
      <c r="C16" s="24" t="inlineStr">
        <is>
          <t>Separate defined build/partner deliverables from capped pilot measurement; re-estimate the residual scope from observed evidence.</t>
        </is>
      </c>
      <c r="D16" s="24" t="inlineStr">
        <is>
          <t>No hidden contingency; explicit variable-cost boundary; re-scope at decision gate; no double-counting partner effort.</t>
        </is>
      </c>
      <c r="E16" s="72" t="inlineStr">
        <is>
          <t>UK DDT Playbook</t>
        </is>
      </c>
      <c r="F16" s="72" t="inlineStr">
        <is>
          <t>US FAR 16.103</t>
        </is>
      </c>
      <c r="G16" s="24" t="inlineStr">
        <is>
          <t>Derived proposal; terms and risk allocation require partner/client agreement.</t>
        </is>
      </c>
    </row>
    <row r="17" ht="64" customHeight="1">
      <c r="A17" s="24" t="inlineStr">
        <is>
          <t>Outcome-linked / unit pricing after measurement</t>
        </is>
      </c>
      <c r="B17" s="24" t="inlineStr">
        <is>
          <t>Outcome/unit can be defined, attributed, measured and accepted without shifting uncontrolled risk.</t>
        </is>
      </c>
      <c r="C17" s="24" t="inlineStr">
        <is>
          <t>Consider per-dossier or outcome-linked pricing only after the live pilot establishes eligible units, quality criteria and review effort.</t>
        </is>
      </c>
      <c r="D17" s="24" t="inlineStr">
        <is>
          <t>No unverified productivity or conversion assumptions; define exclusions, rework and exception handling.</t>
        </is>
      </c>
      <c r="E17" s="72" t="inlineStr">
        <is>
          <t>UK DDT Playbook</t>
        </is>
      </c>
      <c r="F17" s="24" t="inlineStr">
        <is>
          <t>Not used</t>
        </is>
      </c>
      <c r="G17" s="24" t="inlineStr">
        <is>
          <t>Possible only after pilot makes the unit and acceptance criteria measurable.</t>
        </is>
      </c>
    </row>
    <row r="20" ht="48" customHeight="1">
      <c r="A20" s="33" t="inlineStr">
        <is>
          <t>Budget variance is calculated only against a documented, agreed numeric whole-project reference in Inputs!B47 and only when scenario total, scope, currency and period match: (scenario whole-project total − agreed reference whole-project total) ÷ agreed reference whole-project total × 100%. Otherwise show TBD. Do not enter a blanket percentage or present effort/cost bounds as product-pricing tiers. Market-source rate bands remain separate comparator evidence, not project estimates.</t>
        </is>
      </c>
    </row>
    <row r="22">
      <c r="A22" s="86" t="inlineStr">
        <is>
          <t>B. Role-related wage/provider references — distinct pricing classes; no FX conversion</t>
        </is>
      </c>
    </row>
    <row r="23">
      <c r="A23" s="28" t="inlineStr">
        <is>
          <t>Jurisdiction</t>
        </is>
      </c>
      <c r="B23" s="28" t="inlineStr">
        <is>
          <t>Comparator class</t>
        </is>
      </c>
      <c r="C23" s="28" t="inlineStr">
        <is>
          <t>Role/service</t>
        </is>
      </c>
      <c r="D23" s="28" t="inlineStr">
        <is>
          <t>Low/value</t>
        </is>
      </c>
      <c r="E23" s="28" t="inlineStr">
        <is>
          <t>High</t>
        </is>
      </c>
      <c r="F23" s="28" t="inlineStr">
        <is>
          <t>Unit</t>
        </is>
      </c>
      <c r="G23" s="28" t="inlineStr">
        <is>
          <t>Period/population</t>
        </is>
      </c>
      <c r="H23" s="28" t="inlineStr">
        <is>
          <t>Method/type</t>
        </is>
      </c>
      <c r="I23" s="28" t="inlineStr">
        <is>
          <t>Source</t>
        </is>
      </c>
      <c r="J23" s="28" t="inlineStr">
        <is>
          <t>Limit/relevance</t>
        </is>
      </c>
    </row>
    <row r="24" ht="41" customHeight="1">
      <c r="A24" s="94" t="inlineStr">
        <is>
          <t>United Kingdom</t>
        </is>
      </c>
      <c r="B24" s="94" t="inlineStr">
        <is>
          <t>Employee wage</t>
        </is>
      </c>
      <c r="C24" s="94" t="inlineStr">
        <is>
          <t>All full-time employees</t>
        </is>
      </c>
      <c r="D24" s="94" t="n">
        <v>19.67</v>
      </c>
      <c r="E24" s="94" t="n"/>
      <c r="F24" s="94" t="inlineStr">
        <is>
          <t>GBP/employee-hour</t>
        </is>
      </c>
      <c r="G24" s="94" t="inlineStr">
        <is>
          <t>April 2025</t>
        </is>
      </c>
      <c r="H24" s="94" t="inlineStr">
        <is>
          <t>Median</t>
        </is>
      </c>
      <c r="I24" s="39" t="inlineStr">
        <is>
          <t>https://www.ons.gov.uk/employmentandlabourmarket/peopleinwork/earningsandworkinghours/bulletins/annualsurveyofhoursandearnings/2025</t>
        </is>
      </c>
      <c r="J24" s="94" t="inlineStr">
        <is>
          <t>Broad wage context only; not role-specific or partner fee.</t>
        </is>
      </c>
    </row>
    <row r="25" ht="41" customHeight="1">
      <c r="A25" s="94" t="inlineStr">
        <is>
          <t>United Kingdom</t>
        </is>
      </c>
      <c r="B25" s="94" t="inlineStr">
        <is>
          <t>Contractor</t>
        </is>
      </c>
      <c r="C25" s="94" t="inlineStr">
        <is>
          <t>Software engineer day rate</t>
        </is>
      </c>
      <c r="D25" s="94" t="n">
        <v>400</v>
      </c>
      <c r="E25" s="94" t="n">
        <v>550</v>
      </c>
      <c r="F25" s="94" t="inlineStr">
        <is>
          <t>GBP/contractor-day</t>
        </is>
      </c>
      <c r="G25" s="94" t="inlineStr">
        <is>
          <t>2026 guide</t>
        </is>
      </c>
      <c r="H25" s="94" t="inlineStr">
        <is>
          <t>Published range</t>
        </is>
      </c>
      <c r="I25" s="39" t="inlineStr">
        <is>
          <t>https://www.lorienglobal.com/insights/software-developer-contract-rates-in-the-uk</t>
        </is>
      </c>
      <c r="J25" s="94" t="inlineStr">
        <is>
          <t>Separate contractor class; existing normalization uses 7.5 hours/day.</t>
        </is>
      </c>
    </row>
    <row r="26" ht="41" customHeight="1">
      <c r="A26" s="94" t="inlineStr">
        <is>
          <t>United States</t>
        </is>
      </c>
      <c r="B26" s="94" t="inlineStr">
        <is>
          <t>Provider-company</t>
        </is>
      </c>
      <c r="C26" s="94" t="inlineStr">
        <is>
          <t>Software development</t>
        </is>
      </c>
      <c r="D26" s="94" t="n">
        <v>50</v>
      </c>
      <c r="E26" s="94" t="n">
        <v>99</v>
      </c>
      <c r="F26" s="94" t="inlineStr">
        <is>
          <t>USD/provider-hour</t>
        </is>
      </c>
      <c r="G26" s="94" t="inlineStr">
        <is>
          <t>Clutch guide updated 2026-09-21</t>
        </is>
      </c>
      <c r="H26" s="94" t="inlineStr">
        <is>
          <t>Published range</t>
        </is>
      </c>
      <c r="I26" s="39" t="inlineStr">
        <is>
          <t>https://clutch.co/developers/pricing</t>
        </is>
      </c>
      <c r="J26" s="94" t="inlineStr">
        <is>
          <t>Not individual salary or project quote.</t>
        </is>
      </c>
    </row>
    <row r="27" ht="41" customHeight="1">
      <c r="A27" s="94" t="inlineStr">
        <is>
          <t>Ukraine</t>
        </is>
      </c>
      <c r="B27" s="94" t="inlineStr">
        <is>
          <t>Provider-company</t>
        </is>
      </c>
      <c r="C27" s="94" t="inlineStr">
        <is>
          <t>Software development</t>
        </is>
      </c>
      <c r="D27" s="94" t="n">
        <v>25</v>
      </c>
      <c r="E27" s="94" t="n">
        <v>49</v>
      </c>
      <c r="F27" s="94" t="inlineStr">
        <is>
          <t>USD/provider-hour</t>
        </is>
      </c>
      <c r="G27" s="94" t="inlineStr">
        <is>
          <t>Clutch guide updated 2026-09-21</t>
        </is>
      </c>
      <c r="H27" s="94" t="inlineStr">
        <is>
          <t>Published range</t>
        </is>
      </c>
      <c r="I27" s="39" t="inlineStr">
        <is>
          <t>https://clutch.co/developers/pricing</t>
        </is>
      </c>
      <c r="J27" s="94" t="inlineStr">
        <is>
          <t>Not individual salary or project quote.</t>
        </is>
      </c>
    </row>
    <row r="28" ht="41" customHeight="1">
      <c r="A28" s="94" t="inlineStr">
        <is>
          <t>United States</t>
        </is>
      </c>
      <c r="B28" s="94" t="inlineStr">
        <is>
          <t>Employee wage</t>
        </is>
      </c>
      <c r="C28" s="94" t="inlineStr">
        <is>
          <t>Management analysts</t>
        </is>
      </c>
      <c r="D28" s="94" t="n">
        <v>48.97</v>
      </c>
      <c r="E28" s="94" t="n"/>
      <c r="F28" s="94" t="inlineStr">
        <is>
          <t>USD/employee-hour</t>
        </is>
      </c>
      <c r="G28" s="94" t="inlineStr">
        <is>
          <t>May 2025</t>
        </is>
      </c>
      <c r="H28" s="94" t="inlineStr">
        <is>
          <t>Median</t>
        </is>
      </c>
      <c r="I28" s="39" t="inlineStr">
        <is>
          <t>https://www.bls.gov/news.release/ocwage.t01.htm</t>
        </is>
      </c>
      <c r="J28" s="94" t="inlineStr">
        <is>
          <t>Role analogue; not consulting fee.</t>
        </is>
      </c>
    </row>
    <row r="29" ht="41" customHeight="1">
      <c r="A29" s="94" t="inlineStr">
        <is>
          <t>United States</t>
        </is>
      </c>
      <c r="B29" s="94" t="inlineStr">
        <is>
          <t>Employee wage</t>
        </is>
      </c>
      <c r="C29" s="94" t="inlineStr">
        <is>
          <t>Project management specialists</t>
        </is>
      </c>
      <c r="D29" s="94" t="n">
        <v>49.19</v>
      </c>
      <c r="E29" s="94" t="n"/>
      <c r="F29" s="94" t="inlineStr">
        <is>
          <t>USD/employee-hour</t>
        </is>
      </c>
      <c r="G29" s="94" t="inlineStr">
        <is>
          <t>May 2025</t>
        </is>
      </c>
      <c r="H29" s="94" t="inlineStr">
        <is>
          <t>Median</t>
        </is>
      </c>
      <c r="I29" s="39" t="inlineStr">
        <is>
          <t>https://www.bls.gov/news.release/ocwage.t01.htm</t>
        </is>
      </c>
      <c r="J29" s="94" t="inlineStr">
        <is>
          <t>Role analogue; not PO contract price.</t>
        </is>
      </c>
    </row>
    <row r="30" ht="41" customHeight="1">
      <c r="A30" s="94" t="inlineStr">
        <is>
          <t>United States</t>
        </is>
      </c>
      <c r="B30" s="94" t="inlineStr">
        <is>
          <t>Employee wage</t>
        </is>
      </c>
      <c r="C30" s="94" t="inlineStr">
        <is>
          <t>General and operations managers</t>
        </is>
      </c>
      <c r="D30" s="94" t="n">
        <v>50.85</v>
      </c>
      <c r="E30" s="94" t="n"/>
      <c r="F30" s="94" t="inlineStr">
        <is>
          <t>USD/employee-hour</t>
        </is>
      </c>
      <c r="G30" s="94" t="inlineStr">
        <is>
          <t>May 2025</t>
        </is>
      </c>
      <c r="H30" s="94" t="inlineStr">
        <is>
          <t>Median</t>
        </is>
      </c>
      <c r="I30" s="39" t="inlineStr">
        <is>
          <t>https://www.bls.gov/news.release/ocwage.t01.htm</t>
        </is>
      </c>
      <c r="J30" s="94" t="inlineStr">
        <is>
          <t>Broad role analogue; not partner rate.</t>
        </is>
      </c>
    </row>
    <row r="31" ht="41" customHeight="1">
      <c r="A31" s="94" t="inlineStr">
        <is>
          <t>United States</t>
        </is>
      </c>
      <c r="B31" s="94" t="inlineStr">
        <is>
          <t>Employee wage</t>
        </is>
      </c>
      <c r="C31" s="94" t="inlineStr">
        <is>
          <t>Training/development specialists</t>
        </is>
      </c>
      <c r="D31" s="94" t="n">
        <v>33.31</v>
      </c>
      <c r="E31" s="94" t="n"/>
      <c r="F31" s="94" t="inlineStr">
        <is>
          <t>USD/employee-hour</t>
        </is>
      </c>
      <c r="G31" s="94" t="inlineStr">
        <is>
          <t>May 2025</t>
        </is>
      </c>
      <c r="H31" s="94" t="inlineStr">
        <is>
          <t>Median</t>
        </is>
      </c>
      <c r="I31" s="39" t="inlineStr">
        <is>
          <t>https://www.bls.gov/news.release/ocwage.t01.htm</t>
        </is>
      </c>
      <c r="J31" s="94" t="inlineStr">
        <is>
          <t>Role analogue; not training quote.</t>
        </is>
      </c>
    </row>
    <row r="32" ht="41" customHeight="1">
      <c r="A32" s="94" t="inlineStr">
        <is>
          <t>United States</t>
        </is>
      </c>
      <c r="B32" s="94" t="inlineStr">
        <is>
          <t>Employee wage</t>
        </is>
      </c>
      <c r="C32" s="94" t="inlineStr">
        <is>
          <t>Market research/marketing specialists</t>
        </is>
      </c>
      <c r="D32" s="94" t="n">
        <v>37.87</v>
      </c>
      <c r="E32" s="94" t="n"/>
      <c r="F32" s="94" t="inlineStr">
        <is>
          <t>USD/employee-hour</t>
        </is>
      </c>
      <c r="G32" s="94" t="inlineStr">
        <is>
          <t>May 2025</t>
        </is>
      </c>
      <c r="H32" s="94" t="inlineStr">
        <is>
          <t>Median</t>
        </is>
      </c>
      <c r="I32" s="39" t="inlineStr">
        <is>
          <t>https://www.bls.gov/news.release/ocwage.t01.htm</t>
        </is>
      </c>
      <c r="J32" s="94" t="inlineStr">
        <is>
          <t>Role analogue; not project quote.</t>
        </is>
      </c>
    </row>
    <row r="33" ht="41" customHeight="1">
      <c r="A33" s="94" t="inlineStr">
        <is>
          <t>Ukraine</t>
        </is>
      </c>
      <c r="B33" s="94" t="inlineStr">
        <is>
          <t>IT-sector survey salary</t>
        </is>
      </c>
      <c r="C33" s="94" t="inlineStr">
        <is>
          <t>Senior Project Manager</t>
        </is>
      </c>
      <c r="D33" s="94" t="n">
        <v>3325</v>
      </c>
      <c r="E33" s="94" t="n"/>
      <c r="F33" s="94" t="inlineStr">
        <is>
          <t>USD/month; reported salary</t>
        </is>
      </c>
      <c r="G33" s="94" t="inlineStr">
        <is>
          <t>Dec 2025</t>
        </is>
      </c>
      <c r="H33" s="94" t="inlineStr">
        <is>
          <t>Median; senior IT role</t>
        </is>
      </c>
      <c r="I33" s="39" t="inlineStr">
        <is>
          <t>https://dou.ua/lenta/articles/salary-report-managers-winter-2026</t>
        </is>
      </c>
      <c r="J33" s="94" t="inlineStr">
        <is>
          <t>Survey context; not all-sector or hourly.</t>
        </is>
      </c>
    </row>
    <row r="34" ht="41" customHeight="1">
      <c r="A34" s="94" t="inlineStr">
        <is>
          <t>Ukraine</t>
        </is>
      </c>
      <c r="B34" s="94" t="inlineStr">
        <is>
          <t>IT-sector survey salary</t>
        </is>
      </c>
      <c r="C34" s="94" t="inlineStr">
        <is>
          <t>Senior Product Manager</t>
        </is>
      </c>
      <c r="D34" s="94" t="n">
        <v>4000</v>
      </c>
      <c r="E34" s="94" t="n"/>
      <c r="F34" s="94" t="inlineStr">
        <is>
          <t>USD/month; reported salary</t>
        </is>
      </c>
      <c r="G34" s="94" t="inlineStr">
        <is>
          <t>Dec 2025</t>
        </is>
      </c>
      <c r="H34" s="94" t="inlineStr">
        <is>
          <t>Median; senior IT role</t>
        </is>
      </c>
      <c r="I34" s="39" t="inlineStr">
        <is>
          <t>https://dou.ua/lenta/articles/salary-report-managers-winter-2026</t>
        </is>
      </c>
      <c r="J34" s="94" t="inlineStr">
        <is>
          <t>Survey context; not all-sector or hourly.</t>
        </is>
      </c>
    </row>
    <row r="35" ht="41" customHeight="1">
      <c r="A35" s="94" t="inlineStr">
        <is>
          <t>United Kingdom</t>
        </is>
      </c>
      <c r="B35" s="94" t="inlineStr">
        <is>
          <t>Data gap</t>
        </is>
      </c>
      <c r="C35" s="94" t="inlineStr">
        <is>
          <t>Role-specific occupational wage</t>
        </is>
      </c>
      <c r="D35" s="94" t="inlineStr">
        <is>
          <t>Not populated</t>
        </is>
      </c>
      <c r="E35" s="94" t="n"/>
      <c r="F35" s="94" t="inlineStr">
        <is>
          <t>Not available</t>
        </is>
      </c>
      <c r="G35" s="94" t="inlineStr">
        <is>
          <t>ONS ASHE Table 14</t>
        </is>
      </c>
      <c r="H35" s="94" t="inlineStr">
        <is>
          <t>No figure inserted</t>
        </is>
      </c>
      <c r="I35" s="39" t="inlineStr">
        <is>
          <t>https://www.ons.gov.uk/employmentandlabourmarket/peopleinwork/earningsandworkinghours/datasets/occupation4digitsoc2010ashetable14</t>
        </is>
      </c>
      <c r="J35" s="94" t="inlineStr">
        <is>
          <t>Prior role-table retrieval unavailable; do not substitute broad median.</t>
        </is>
      </c>
    </row>
    <row r="38">
      <c r="A38" s="86" t="inlineStr">
        <is>
          <t>C. Three-way commercial comparison — identical scope/acceptance boundaries only</t>
        </is>
      </c>
    </row>
    <row r="39">
      <c r="A39" s="28" t="inlineStr">
        <is>
          <t>Option</t>
        </is>
      </c>
      <c r="B39" s="28" t="inlineStr">
        <is>
          <t>Cost basis</t>
        </is>
      </c>
      <c r="C39" s="28" t="inlineStr">
        <is>
          <t>Required scope parity</t>
        </is>
      </c>
      <c r="D39" s="28" t="inlineStr">
        <is>
          <t>What it supports</t>
        </is>
      </c>
      <c r="E39" s="28" t="inlineStr">
        <is>
          <t>What it cannot isolate</t>
        </is>
      </c>
    </row>
    <row r="40" ht="50" customHeight="1">
      <c r="A40" s="94" t="inlineStr">
        <is>
          <t>1. Direct supplier cost</t>
        </is>
      </c>
      <c r="B40" s="94" t="inlineStr">
        <is>
          <t>Residual developer/vendor cost.</t>
        </is>
      </c>
      <c r="C40" s="94" t="inlineStr">
        <is>
          <t>Same requirements, data/access, QA/security, IP, deployment and support.</t>
        </is>
      </c>
      <c r="D40" s="94" t="inlineStr">
        <is>
          <t>Technical baseline.</t>
        </is>
      </c>
      <c r="E40" s="94" t="inlineStr">
        <is>
          <t>Excludes partner work and verified external spend.</t>
        </is>
      </c>
    </row>
    <row r="41" ht="50" customHeight="1">
      <c r="A41" s="94" t="inlineStr">
        <is>
          <t>2. Separate partner work + external spend</t>
        </is>
      </c>
      <c r="B41" s="94" t="inlineStr">
        <is>
          <t>Partner hours × agreed rates plus supplier quotes/verified direct costs.</t>
        </is>
      </c>
      <c r="C41" s="94" t="inlineStr">
        <is>
          <t>Same scope, roles, deliverables, acceptance and exclusions.</t>
        </is>
      </c>
      <c r="D41" s="94" t="inlineStr">
        <is>
          <t>Transparent cost-to-deliver; partner client work stays explicit.</t>
        </is>
      </c>
      <c r="E41" s="94" t="inlineStr">
        <is>
          <t>No final price until inputs agreed.</t>
        </is>
      </c>
    </row>
    <row r="42" ht="50" customHeight="1">
      <c r="A42" s="94" t="inlineStr">
        <is>
          <t>3. Boutique/all-in proposal</t>
        </is>
      </c>
      <c r="B42" s="94" t="inlineStr">
        <is>
          <t>All-in quote for same scope/outcomes/risk.</t>
        </is>
      </c>
      <c r="C42" s="94" t="inlineStr">
        <is>
          <t>Same acceptance, IP, data rights, schedule, support and change control.</t>
        </is>
      </c>
      <c r="D42" s="94" t="inlineStr">
        <is>
          <t>Commercial alternative.</t>
        </is>
      </c>
      <c r="E42" s="94" t="inlineStr">
        <is>
          <t>Difference versus 1+2 is combined overhead/commercial/margin effect; cannot isolate components.</t>
        </is>
      </c>
    </row>
    <row r="44">
      <c r="A44" s="35" t="inlineStr">
        <is>
          <t>No partner rate is inferred from these benchmarks. Inputs!B33:B39 remain blank for partner completion; currencies/classes are not converted or combined.</t>
        </is>
      </c>
    </row>
  </sheetData>
  <mergeCells count="11">
    <mergeCell ref="A44:J44"/>
    <mergeCell ref="A1:J1"/>
    <mergeCell ref="G17:J17"/>
    <mergeCell ref="A22:J22"/>
    <mergeCell ref="G14:J14"/>
    <mergeCell ref="G16:J16"/>
    <mergeCell ref="A20:J20"/>
    <mergeCell ref="G15:J15"/>
    <mergeCell ref="A2:J2"/>
    <mergeCell ref="A38:J38"/>
    <mergeCell ref="A11:J11"/>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E14" r:id="rId5"/>
    <hyperlink xmlns:r="http://schemas.openxmlformats.org/officeDocument/2006/relationships" ref="F14" r:id="rId6"/>
    <hyperlink xmlns:r="http://schemas.openxmlformats.org/officeDocument/2006/relationships" ref="E15" r:id="rId7"/>
    <hyperlink xmlns:r="http://schemas.openxmlformats.org/officeDocument/2006/relationships" ref="F15" r:id="rId8"/>
    <hyperlink xmlns:r="http://schemas.openxmlformats.org/officeDocument/2006/relationships" ref="E16" r:id="rId9"/>
    <hyperlink xmlns:r="http://schemas.openxmlformats.org/officeDocument/2006/relationships" ref="F16" r:id="rId10"/>
    <hyperlink xmlns:r="http://schemas.openxmlformats.org/officeDocument/2006/relationships" ref="E17" r:id="rId11"/>
    <hyperlink xmlns:r="http://schemas.openxmlformats.org/officeDocument/2006/relationships" ref="I24" r:id="rId12"/>
    <hyperlink xmlns:r="http://schemas.openxmlformats.org/officeDocument/2006/relationships" ref="I25" r:id="rId13"/>
    <hyperlink xmlns:r="http://schemas.openxmlformats.org/officeDocument/2006/relationships" ref="I26" r:id="rId14"/>
    <hyperlink xmlns:r="http://schemas.openxmlformats.org/officeDocument/2006/relationships" ref="I27" r:id="rId15"/>
    <hyperlink xmlns:r="http://schemas.openxmlformats.org/officeDocument/2006/relationships" ref="I28" r:id="rId16"/>
    <hyperlink xmlns:r="http://schemas.openxmlformats.org/officeDocument/2006/relationships" ref="I29" r:id="rId17"/>
    <hyperlink xmlns:r="http://schemas.openxmlformats.org/officeDocument/2006/relationships" ref="I30" r:id="rId18"/>
    <hyperlink xmlns:r="http://schemas.openxmlformats.org/officeDocument/2006/relationships" ref="I31" r:id="rId19"/>
    <hyperlink xmlns:r="http://schemas.openxmlformats.org/officeDocument/2006/relationships" ref="I32" r:id="rId20"/>
    <hyperlink xmlns:r="http://schemas.openxmlformats.org/officeDocument/2006/relationships" ref="I33" r:id="rId21"/>
    <hyperlink xmlns:r="http://schemas.openxmlformats.org/officeDocument/2006/relationships" ref="I34" r:id="rId22"/>
    <hyperlink xmlns:r="http://schemas.openxmlformats.org/officeDocument/2006/relationships" ref="I35" r:id="rId23"/>
  </hyperlink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O11"/>
  <sheetViews>
    <sheetView showGridLines="0"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1" customWidth="1" min="2" max="2"/>
    <col width="58" customWidth="1" min="3" max="3"/>
    <col width="50" customWidth="1" min="4" max="4"/>
    <col width="45" customWidth="1" min="5" max="5"/>
    <col width="28" customWidth="1" min="6" max="6"/>
    <col width="31" customWidth="1" min="7" max="7"/>
    <col width="20" customWidth="1" min="8" max="8"/>
    <col width="25" customWidth="1" min="9" max="9"/>
    <col width="17" customWidth="1" min="10" max="10"/>
    <col width="18" customWidth="1" min="11" max="11"/>
    <col width="34" customWidth="1" min="12" max="12"/>
    <col width="50" customWidth="1" min="13" max="13"/>
    <col width="48" customWidth="1" min="14" max="14"/>
    <col width="60" customWidth="1" min="15" max="15"/>
  </cols>
  <sheetData>
    <row r="1" ht="26" customHeight="1">
      <c r="A1" s="79" t="inlineStr">
        <is>
          <t>ISRM PILOT — SEQUENTIAL DELIVERY GANTT</t>
        </is>
      </c>
    </row>
    <row r="2" ht="32" customHeight="1">
      <c r="A2" s="81" t="inlineStr">
        <is>
          <t>Relative work-week schedule; tracks are sequential. Durations, handoff lags, hours, rates and fees are not yet evidenced and remain TBD.</t>
        </is>
      </c>
    </row>
    <row r="3" ht="32" customHeight="1">
      <c r="A3" s="81" t="inlineStr">
        <is>
          <t>Enter approved inputs in yellow cells. Blank/TBD is not zero. Start/finish formulas populate only when required duration and handoff inputs are numeric.</t>
        </is>
      </c>
    </row>
    <row r="5" ht="48" customHeight="1">
      <c r="A5" s="82" t="inlineStr">
        <is>
          <t>Seq</t>
        </is>
      </c>
      <c r="B5" s="82" t="inlineStr">
        <is>
          <t>Delivery track / gate</t>
        </is>
      </c>
      <c r="C5" s="82" t="inlineStr">
        <is>
          <t>Scope and deliverables</t>
        </is>
      </c>
      <c r="D5" s="82" t="inlineStr">
        <is>
          <t>Entry dependency</t>
        </is>
      </c>
      <c r="E5" s="82" t="inlineStr">
        <is>
          <t>Acceptance / decision gate</t>
        </is>
      </c>
      <c r="F5" s="82" t="inlineStr">
        <is>
          <t>Partner effort (person-hours)</t>
        </is>
      </c>
      <c r="G5" s="82" t="inlineStr">
        <is>
          <t>Developer/vendor effort (person-hours)</t>
        </is>
      </c>
      <c r="H5" s="82" t="inlineStr">
        <is>
          <t>Duration (working weeks)</t>
        </is>
      </c>
      <c r="I5" s="82" t="inlineStr">
        <is>
          <t>Handoff / approval lag before row (weeks)</t>
        </is>
      </c>
      <c r="J5" s="82" t="inlineStr">
        <is>
          <t>Start week (relative)</t>
        </is>
      </c>
      <c r="K5" s="82" t="inlineStr">
        <is>
          <t>Finish week (relative)</t>
        </is>
      </c>
      <c r="L5" s="82" t="inlineStr">
        <is>
          <t>Fee status</t>
        </is>
      </c>
      <c r="M5" s="82" t="inlineStr">
        <is>
          <t>Tranche / decision trigger</t>
        </is>
      </c>
      <c r="N5" s="82" t="inlineStr">
        <is>
          <t>KPI / evidence</t>
        </is>
      </c>
      <c r="O5" s="82" t="inlineStr">
        <is>
          <t>Assumptions / limits</t>
        </is>
      </c>
    </row>
    <row r="6" ht="112" customHeight="1">
      <c r="A6" s="83" t="n">
        <v>1</v>
      </c>
      <c r="B6" s="83" t="inlineStr">
        <is>
          <t>Strategy, consulting &amp; reports</t>
        </is>
      </c>
      <c r="C6" s="83" t="inlineStr">
        <is>
          <t>Member-needs survey; diagnostic/capacity report; co-design Trust &amp; Influence model/protocol; strategy sessions; expertise priorities/gaps; select and orient reviewers.</t>
        </is>
      </c>
      <c r="D6" s="83" t="inlineStr">
        <is>
          <t>Sponsor, survey purpose, participants, privacy and distribution route approved.</t>
        </is>
      </c>
      <c r="E6" s="83" t="inlineStr">
        <is>
          <t>Client/board accepts diagnostic, priorities, T&amp;I scope and application requirements.</t>
        </is>
      </c>
      <c r="F6" s="84" t="inlineStr">
        <is>
          <t>TBD — known preparation input is 16–24 person-hours for 2–3 workdays × 8 hours × 1 person; this is not total Track 1 effort.</t>
        </is>
      </c>
      <c r="G6" s="84" t="inlineStr">
        <is>
          <t>TBD — only discovery if separately commissioned.</t>
        </is>
      </c>
      <c r="H6" s="84" t="inlineStr">
        <is>
          <t>TBD</t>
        </is>
      </c>
      <c r="I6" s="84" t="inlineStr">
        <is>
          <t>TBD</t>
        </is>
      </c>
      <c r="J6" s="85">
        <f>1</f>
        <v/>
      </c>
      <c r="K6" s="85">
        <f>IF(AND(ISNUMBER(J6),ISNUMBER(H6),H6&gt;0),J6+H6-1,"TBD")</f>
        <v/>
      </c>
      <c r="L6" s="83" t="inlineStr">
        <is>
          <t>TBD — partner rates/fees not agreed.</t>
        </is>
      </c>
      <c r="M6" s="83" t="inlineStr">
        <is>
          <t>Gate 1: acceptance of diagnostic and strategy outputs; amount TBD.</t>
        </is>
      </c>
      <c r="N6" s="83" t="inlineStr">
        <is>
          <t>Valid completed responses / unique invitees only if denominator is measurable; decisions accepted.</t>
        </is>
      </c>
      <c r="O6" s="83" t="inlineStr">
        <is>
          <t>LinkedIn group membership is not survey reach or response denominator.</t>
        </is>
      </c>
    </row>
    <row r="7" ht="112" customHeight="1">
      <c r="A7" s="83" t="n">
        <v>2</v>
      </c>
      <c r="B7" s="83" t="inlineStr">
        <is>
          <t>Functional integrated application</t>
        </is>
      </c>
      <c r="C7" s="83" t="inlineStr">
        <is>
          <t>Residual MVP: persist groups and expert/project links; roles/access, consent/audit, service request and acceptance workflows; verify exact demo reuse.</t>
        </is>
      </c>
      <c r="D7" s="83" t="inlineStr">
        <is>
          <t>Track 1 requirements accepted; demo build and data rules inventoried.</t>
        </is>
      </c>
      <c r="E7" s="83" t="inlineStr">
        <is>
          <t>UAT scenarios accepted; persistence and access boundaries verified.</t>
        </is>
      </c>
      <c r="F7" s="84" t="inlineStr">
        <is>
          <t>TBD — separate partner product/acceptance effort.</t>
        </is>
      </c>
      <c r="G7" s="84" t="inlineStr">
        <is>
          <t>TBD — feature estimate and supplier quote required.</t>
        </is>
      </c>
      <c r="H7" s="84" t="inlineStr">
        <is>
          <t>TBD</t>
        </is>
      </c>
      <c r="I7" s="84" t="inlineStr">
        <is>
          <t>TBD</t>
        </is>
      </c>
      <c r="J7" s="85">
        <f>IF(AND(ISNUMBER(K6),ISNUMBER(I7)),K6+I7+1,"TBD")</f>
        <v/>
      </c>
      <c r="K7" s="85">
        <f>IF(AND(ISNUMBER(J7),ISNUMBER(H7),H7&gt;0),J7+H7-1,"TBD")</f>
        <v/>
      </c>
      <c r="L7" s="83" t="inlineStr">
        <is>
          <t>TBD — partner fees + supplier quote + approved expenses.</t>
        </is>
      </c>
      <c r="M7" s="83" t="inlineStr">
        <is>
          <t>Gate 2: acceptance of integrated MVP; amount TBD.</t>
        </is>
      </c>
      <c r="N7" s="83" t="inlineStr">
        <is>
          <t>Accepted UAT scenarios / agreed UAT scenarios; report critical defects separately.</t>
        </is>
      </c>
      <c r="O7" s="83" t="inlineStr">
        <is>
          <t>Reuse credited only after developers verify exact build and boundary.</t>
        </is>
      </c>
    </row>
    <row r="8" ht="112" customHeight="1">
      <c r="A8" s="83" t="n">
        <v>3</v>
      </c>
      <c r="B8" s="83" t="inlineStr">
        <is>
          <t>Analytics, data &amp; knowledge</t>
        </is>
      </c>
      <c r="C8" s="83" t="inlineStr">
        <is>
          <t>Data governance/provenance; research workflow; governed dataset; knowledge base; dashboard and agreed insights.</t>
        </is>
      </c>
      <c r="D8" s="83" t="inlineStr">
        <is>
          <t>Track 2 data/workflow accepted; data rights, owners and metric definitions approved.</t>
        </is>
      </c>
      <c r="E8" s="83" t="inlineStr">
        <is>
          <t>Lineage, access/refresh rules and outputs accepted with limitations visible.</t>
        </is>
      </c>
      <c r="F8" s="84" t="inlineStr">
        <is>
          <t>TBD — data governance, research and analytics effort.</t>
        </is>
      </c>
      <c r="G8" s="84" t="inlineStr">
        <is>
          <t>TBD — data model, pipeline, dashboard and KB estimate required.</t>
        </is>
      </c>
      <c r="H8" s="84" t="inlineStr">
        <is>
          <t>TBD</t>
        </is>
      </c>
      <c r="I8" s="84" t="inlineStr">
        <is>
          <t>TBD</t>
        </is>
      </c>
      <c r="J8" s="85">
        <f>IF(AND(ISNUMBER(K7),ISNUMBER(I8)),K7+I8+1,"TBD")</f>
        <v/>
      </c>
      <c r="K8" s="85">
        <f>IF(AND(ISNUMBER(J8),ISNUMBER(H8),H8&gt;0),J8+H8-1,"TBD")</f>
        <v/>
      </c>
      <c r="L8" s="83" t="inlineStr">
        <is>
          <t>TBD — partner fees + supplier quote + approved expenses.</t>
        </is>
      </c>
      <c r="M8" s="83" t="inlineStr">
        <is>
          <t>Gate 3: acceptance of data and analytics package; amount TBD.</t>
        </is>
      </c>
      <c r="N8" s="83" t="inlineStr">
        <is>
          <t>Source/rights completeness, refresh period and metric definitions recorded; targets set by client.</t>
        </is>
      </c>
      <c r="O8" s="83" t="inlineStr">
        <is>
          <t>Do not merge channel, membership and CRM denominators without authority and deduplication.</t>
        </is>
      </c>
    </row>
    <row r="9" ht="112" customHeight="1">
      <c r="A9" s="83" t="n">
        <v>4</v>
      </c>
      <c r="B9" s="83" t="inlineStr">
        <is>
          <t>Communications, publications &amp; events</t>
        </is>
      </c>
      <c r="C9" s="83" t="inlineStr">
        <is>
          <t>Approved activation campaigns; editorial pipeline; expert discussions/events; conference preparation and media outreach.</t>
        </is>
      </c>
      <c r="D9" s="83" t="inlineStr">
        <is>
          <t>Tracks 1–3 accepted; channels authorized; opt-in/privacy and funding decisions documented.</t>
        </is>
      </c>
      <c r="E9" s="83" t="inlineStr">
        <is>
          <t>Campaign/event results reported by channel; conference spend only after funding approval.</t>
        </is>
      </c>
      <c r="F9" s="84" t="inlineStr">
        <is>
          <t>TBD — campaign, editorial and event operations effort.</t>
        </is>
      </c>
      <c r="G9" s="84" t="inlineStr">
        <is>
          <t>TBD — workflow/integration estimate if required.</t>
        </is>
      </c>
      <c r="H9" s="84" t="inlineStr">
        <is>
          <t>TBD</t>
        </is>
      </c>
      <c r="I9" s="84" t="inlineStr">
        <is>
          <t>TBD</t>
        </is>
      </c>
      <c r="J9" s="85">
        <f>IF(AND(ISNUMBER(K8),ISNUMBER(I9)),K8+I9+1,"TBD")</f>
        <v/>
      </c>
      <c r="K9" s="85">
        <f>IF(AND(ISNUMBER(J9),ISNUMBER(H9),H9&gt;0),J9+H9-1,"TBD")</f>
        <v/>
      </c>
      <c r="L9" s="83" t="inlineStr">
        <is>
          <t>TBD — partner fees + supplier quote + approved expenses.</t>
        </is>
      </c>
      <c r="M9" s="83" t="inlineStr">
        <is>
          <t>Gate 4: pilot/campaign acceptance; separate conference funding approval.</t>
        </is>
      </c>
      <c r="N9" s="83" t="inlineStr">
        <is>
          <t>Reach, response, opt-in, participation and attendance measured separately by channel.</t>
        </is>
      </c>
      <c r="O9" s="83" t="inlineStr">
        <is>
          <t>~11,700 LinkedIn memberships is unverified user-reported information, not reach or forecast; 10-media outreach is an objective, not guaranteed placement.</t>
        </is>
      </c>
    </row>
    <row r="10" ht="112" customHeight="1">
      <c r="A10" s="83" t="inlineStr">
        <is>
          <t>4A</t>
        </is>
      </c>
      <c r="B10" s="83" t="inlineStr">
        <is>
          <t>Pilot evaluation &amp; continuation gate</t>
        </is>
      </c>
      <c r="C10" s="83" t="inlineStr">
        <is>
          <t>Evaluate observed evidence; record stop/continue decision and public, client-only, internal or SaaS direction; approve scope/funding for Track 5.</t>
        </is>
      </c>
      <c r="D10" s="83" t="inlineStr">
        <is>
          <t>Track 4 evidence and agreed baseline available.</t>
        </is>
      </c>
      <c r="E10" s="83" t="inlineStr">
        <is>
          <t>Written client/board go/no-go, access model, funding and product-scope decision.</t>
        </is>
      </c>
      <c r="F10" s="84" t="inlineStr">
        <is>
          <t>TBD — synthesis and decision facilitation.</t>
        </is>
      </c>
      <c r="G10" s="84" t="inlineStr">
        <is>
          <t>TBD — only if technical evaluation is commissioned.</t>
        </is>
      </c>
      <c r="H10" s="84" t="inlineStr">
        <is>
          <t>TBD</t>
        </is>
      </c>
      <c r="I10" s="84" t="inlineStr">
        <is>
          <t>TBD</t>
        </is>
      </c>
      <c r="J10" s="85">
        <f>IF(AND(ISNUMBER(K9),ISNUMBER(I10)),K9+I10+1,"TBD")</f>
        <v/>
      </c>
      <c r="K10" s="85">
        <f>IF(AND(ISNUMBER(J10),ISNUMBER(H10),H10&gt;0),J10+H10-1,"TBD")</f>
        <v/>
      </c>
      <c r="L10" s="83" t="inlineStr">
        <is>
          <t>TBD — no future development fee assumed before approval.</t>
        </is>
      </c>
      <c r="M10" s="83" t="inlineStr">
        <is>
          <t>Gate 4A: written go/no-go and funding/access decision.</t>
        </is>
      </c>
      <c r="N10" s="83" t="inlineStr">
        <is>
          <t>Observed baseline-to-follow-up metrics only; no causal/revenue claim without evaluation design.</t>
        </is>
      </c>
      <c r="O10" s="83" t="inlineStr">
        <is>
          <t>Community contributions/donations are not confirmed funding or client-price offsets.</t>
        </is>
      </c>
    </row>
    <row r="11" ht="112" customHeight="1">
      <c r="A11" s="83" t="n">
        <v>5</v>
      </c>
      <c r="B11" s="83" t="inlineStr">
        <is>
          <t>AI, OSINT &amp; chatbot (conditional)</t>
        </is>
      </c>
      <c r="C11" s="83" t="inlineStr">
        <is>
          <t>Bounded assistant over approved knowledge; permitted OSINT sources; citations, audit, human review, evaluation and correction path.</t>
        </is>
      </c>
      <c r="D11" s="83" t="inlineStr">
        <is>
          <t>Track 4 gate approves continuation; Track 3 knowledge base and source/data rights ready.</t>
        </is>
      </c>
      <c r="E11" s="83" t="inlineStr">
        <is>
          <t>Agreed evaluation thresholds pass; review, incident and rollback procedures accepted.</t>
        </is>
      </c>
      <c r="F11" s="84" t="inlineStr">
        <is>
          <t>TBD — governance, evaluation and human-review effort.</t>
        </is>
      </c>
      <c r="G11" s="84" t="inlineStr">
        <is>
          <t>TBD — provider/model/integration and usage quote required.</t>
        </is>
      </c>
      <c r="H11" s="84" t="inlineStr">
        <is>
          <t>TBD</t>
        </is>
      </c>
      <c r="I11" s="84" t="inlineStr">
        <is>
          <t>TBD</t>
        </is>
      </c>
      <c r="J11" s="85">
        <f>IF(AND(ISNUMBER(K10),ISNUMBER(I11)),K10+I11+1,"TBD")</f>
        <v/>
      </c>
      <c r="K11" s="85">
        <f>IF(AND(ISNUMBER(J11),ISNUMBER(H11),H11&gt;0),J11+H11-1,"TBD")</f>
        <v/>
      </c>
      <c r="L11" s="83" t="inlineStr">
        <is>
          <t>TBD — optional track; no API/provider costs assumed.</t>
        </is>
      </c>
      <c r="M11" s="83" t="inlineStr">
        <is>
          <t>Gate 5: accepted bounded AI pilot and separate continuation decision.</t>
        </is>
      </c>
      <c r="N11" s="83" t="inlineStr">
        <is>
          <t>Pre-agreed test set and thresholds for source support, errors and human override; values TBD.</t>
        </is>
      </c>
      <c r="O11" s="83" t="inlineStr">
        <is>
          <t>AI output is not identity/credential verification; no scraping or automated LinkedIn actions assumed.</t>
        </is>
      </c>
    </row>
  </sheetData>
  <autoFilter ref="A5:O11"/>
  <mergeCells count="3">
    <mergeCell ref="A1:O1"/>
    <mergeCell ref="A3:O3"/>
    <mergeCell ref="A2:O2"/>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2026-10-03T17:48:45Z</dcterms:created>
  <dcterms:modified xsi:type="dcterms:W3CDTF">2026-10-06T00:33:15Z</dcterms:modified>
</cp:coreProperties>
</file>