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Work Breakdown" sheetId="3" state="visible" r:id="rId3"/>
    <sheet name="Scope Summary" sheetId="4" state="visible" r:id="rId4"/>
    <sheet name="Sources" sheetId="5" state="visible" r:id="rId5"/>
    <sheet name="Market Comparators" sheetId="6" state="visible" r:id="rId6"/>
    <sheet name="Dossier Measurement" sheetId="7" state="visible" r:id="rId7"/>
  </sheets>
  <definedNames>
    <definedName name="_xlnm._FilterDatabase" localSheetId="1" hidden="1">'Inputs'!$A$4:$E$22</definedName>
    <definedName name="_xlnm._FilterDatabase" localSheetId="2" hidden="1">'Work Breakdown'!$A$4:$N$40</definedName>
    <definedName name="_xlnm._FilterDatabase" localSheetId="4" hidden="1">'Sources'!$A$4:$H$23</definedName>
    <definedName name="_xlnm._FilterDatabase" localSheetId="5" hidden="1">'Market Comparators'!$A$4:$G$9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.00;[Red]-#,##0.00;–"/>
    <numFmt numFmtId="165" formatCode="£#,##0.00"/>
    <numFmt numFmtId="166" formatCode="£#,##0.00;[Red]-£#,##0.00;–"/>
    <numFmt numFmtId="167" formatCode="0.0%"/>
    <numFmt numFmtId="168" formatCode="0.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FFFFFF"/>
    </font>
    <font>
      <b val="1"/>
      <color rgb="00FFFFFF"/>
      <sz val="12"/>
    </font>
    <font>
      <b val="1"/>
      <color rgb="001F2937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6" fontId="0" fillId="5" borderId="1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2" fontId="0" fillId="4" borderId="0" pivotButton="0" quotePrefix="0" xfId="0"/>
    <xf numFmtId="2" fontId="0" fillId="5" borderId="1" applyAlignment="1" pivotButton="0" quotePrefix="0" xfId="0">
      <alignment vertical="top" wrapText="1"/>
    </xf>
    <xf numFmtId="2" fontId="0" fillId="5" borderId="0" pivotButton="0" quotePrefix="0" xfId="0"/>
    <xf numFmtId="0" fontId="0" fillId="5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67" fontId="0" fillId="5" borderId="1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165" fontId="0" fillId="5" borderId="0" pivotButton="0" quotePrefix="0" xfId="0"/>
    <xf numFmtId="168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28" customWidth="1" min="3" max="3"/>
    <col width="28" customWidth="1" min="4" max="4"/>
  </cols>
  <sheetData>
    <row r="1">
      <c r="A1" s="1" t="inlineStr">
        <is>
          <t>ISRM Partner Scope &amp; Cost Model · input scaffold</t>
        </is>
      </c>
    </row>
    <row r="2" ht="34" customHeight="1">
      <c r="A2" s="2" t="inlineStr">
        <is>
          <t>GBP is a working currency, not a confirmed contract currency. This is not a quote or approved budget. Unapproved effort, partner rates, supplier costs and decisions remain blank/TBD; open in a compatible spreadsheet application to recalculate formulas.</t>
        </is>
      </c>
    </row>
    <row r="4" ht="43" customHeight="1">
      <c r="A4" s="3" t="inlineStr">
        <is>
          <t>Purpose</t>
        </is>
      </c>
      <c r="B4" s="2" t="inlineStr">
        <is>
          <t>Four independent commercial scopes, three partner roles, residual software effort and a separate graph/search replacement-value benchmark. Historical planning inputs are retained only in Work Breakdown notes and are inactive.</t>
        </is>
      </c>
    </row>
    <row r="5" ht="43" customHeight="1">
      <c r="A5" s="3" t="inlineStr">
        <is>
          <t>Four circles</t>
        </is>
      </c>
      <c r="B5" s="2" t="inlineStr">
        <is>
          <t>1 Consulting/strategy; 2 Application MVP; 3 bounded one-client pilot functionality; 4 other/post-pilot functionality. Each row is a distinct scope, not a low/base/high tier or cumulative offer.</t>
        </is>
      </c>
    </row>
    <row r="6" ht="43" customHeight="1">
      <c r="A6" s="3" t="inlineStr">
        <is>
          <t>Three roles</t>
        </is>
      </c>
      <c r="B6" s="2" t="inlineStr">
        <is>
          <t>P1 Client communications &amp; business development; P2 Operations, OSINT, events &amp; external communications; P3 Product Owner, strategy &amp; developer relationships.</t>
        </is>
      </c>
    </row>
    <row r="7" ht="43" customHeight="1">
      <c r="A7" s="3" t="inlineStr">
        <is>
          <t>Three cost layers</t>
        </is>
      </c>
      <c r="B7" s="2" t="inlineStr">
        <is>
          <t>Partner work, residual software supplier work, a conditional client-facing graph/search replacement-value benchmark, a separately approved internal allocation, and quoted external costs. No reuse charge is automatic.</t>
        </is>
      </c>
    </row>
    <row r="8" ht="43" customHeight="1">
      <c r="A8" s="3" t="inlineStr">
        <is>
          <t>Calculation</t>
        </is>
      </c>
      <c r="B8" s="2" t="inlineStr">
        <is>
          <t>Active person-hours = approved quantity × approved hours/unit. Cost = person-hours × agreed rate. Unknown status/inputs return TBD; only an explicit No/Excluded decision returns zero. Day conversions are assumptions, not effort estimates.</t>
        </is>
      </c>
    </row>
    <row r="9" ht="43" customHeight="1">
      <c r="A9" s="3" t="inlineStr">
        <is>
          <t>Dossier scenario</t>
        </is>
      </c>
      <c r="B9" s="2" t="inlineStr">
        <is>
          <t>The 300–500 dossier capacity scenario is historical planning context only, not an approved pilot cohort or forecast. Current cohort and dossier effort remain TBD; do not multiply sample minutes by a capacity estimate.</t>
        </is>
      </c>
    </row>
    <row r="10" ht="43" customHeight="1">
      <c r="A10" s="3" t="inlineStr">
        <is>
          <t>Rates</t>
        </is>
      </c>
      <c r="B10" s="2" t="inlineStr">
        <is>
          <t>Partner-rate and supplier-rate inputs are blank until partner-agreed rates or comparable-scope supplier quotations are provided. Source benchmarks remain context only and are not substituted as partner rates.</t>
        </is>
      </c>
    </row>
    <row r="11" ht="43" customHeight="1">
      <c r="A11" s="3" t="inlineStr">
        <is>
          <t>Exclusions</t>
        </is>
      </c>
      <c r="B11" s="2" t="inlineStr">
        <is>
          <t>Graph/search replacement-value benchmark: 3/5/7 developer-days × published UK contractor median. Effort is [ASSUMPTION], not measured historical labor; the resulting amount is not a quote, licence price, partner fee or automatic client charge. Include only after a separate written decision.</t>
        </is>
      </c>
    </row>
    <row r="12" ht="43" customHeight="1">
      <c r="A12" s="3" t="inlineStr">
        <is>
          <t>Software boundary</t>
        </is>
      </c>
      <c r="B12" s="2" t="inlineStr">
        <is>
          <t>Residual production software work is unestimated. Reconcile the exact demo build, acceptance criteria, data access and integrations before entering approved quantities/hours or supplier quotes.</t>
        </is>
      </c>
    </row>
    <row r="13" ht="43" customHeight="1">
      <c r="A13" s="3" t="inlineStr">
        <is>
          <t>Color key</t>
        </is>
      </c>
      <c r="B13" s="2" t="inlineStr">
        <is>
          <t>Yellow = required editable input; green = formula; orange = assumption/decision. Blank/TBD is not zero. Use No/Excluded only for an explicit scope exclusion.</t>
        </is>
      </c>
    </row>
  </sheetData>
  <mergeCells count="12">
    <mergeCell ref="B10:D10"/>
    <mergeCell ref="A1:D1"/>
    <mergeCell ref="B11:D11"/>
    <mergeCell ref="B5:D5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7" customWidth="1" min="3" max="3"/>
    <col width="34" customWidth="1" min="4" max="4"/>
    <col width="100" customWidth="1" min="5" max="5"/>
  </cols>
  <sheetData>
    <row r="1">
      <c r="A1" s="1" t="inlineStr">
        <is>
          <t>Editable inputs · partner decisions and evidenced values</t>
        </is>
      </c>
    </row>
    <row r="2" ht="34" customHeight="1">
      <c r="A2" s="2" t="inlineStr">
        <is>
          <t>Blank/TBD means unknown, never zero. Enter partner rates only when agreed; enter supplier costs only from comparable quotes. GBP remains a working-currency assumption. Recalculate in a compatible spreadsheet application before relying on formula outputs.</t>
        </is>
      </c>
    </row>
    <row r="4" ht="36" customHeight="1">
      <c r="A4" s="4" t="inlineStr">
        <is>
          <t>Input ID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Status</t>
        </is>
      </c>
      <c r="E4" s="4" t="inlineStr">
        <is>
          <t>Origin / method / caveat</t>
        </is>
      </c>
    </row>
    <row r="5" ht="40" customHeight="1">
      <c r="A5" s="5" t="inlineStr">
        <is>
          <t>CURRENCY</t>
        </is>
      </c>
      <c r="B5" s="6" t="inlineStr">
        <is>
          <t>GBP</t>
        </is>
      </c>
      <c r="C5" s="5" t="inlineStr">
        <is>
          <t>currency code</t>
        </is>
      </c>
      <c r="D5" s="5" t="inlineStr">
        <is>
          <t>ASSUMPTION</t>
        </is>
      </c>
      <c r="E5" s="5" t="inlineStr">
        <is>
          <t>Working display currency only; confirm before contract.</t>
        </is>
      </c>
    </row>
    <row r="6" ht="40" customHeight="1">
      <c r="A6" s="5" t="inlineStr">
        <is>
          <t>RATE_P1</t>
        </is>
      </c>
      <c r="B6" s="7" t="n"/>
      <c r="C6" s="5" t="inlineStr">
        <is>
          <t>GBP / partner-hour</t>
        </is>
      </c>
      <c r="D6" s="5" t="inlineStr">
        <is>
          <t>Partner input required · no default</t>
        </is>
      </c>
      <c r="E6" s="5" t="inlineStr">
        <is>
          <t>Reference only; not a partner rate or quote. YunoJuno 2025 report overall average £49/h (dataset 2022–2024); broad proxy, not partner quote.</t>
        </is>
      </c>
    </row>
    <row r="7" ht="40" customHeight="1">
      <c r="A7" s="5" t="inlineStr">
        <is>
          <t>RATE_P2</t>
        </is>
      </c>
      <c r="B7" s="7" t="n"/>
      <c r="C7" s="5" t="inlineStr">
        <is>
          <t>GBP / partner-hour</t>
        </is>
      </c>
      <c r="D7" s="5" t="inlineStr">
        <is>
          <t>Partner input required · no default</t>
        </is>
      </c>
      <c r="E7" s="5" t="inlineStr">
        <is>
          <t>Reference only; not a partner rate or quote. YunoJuno 2025 report market-research average £61/h; adjacent proxy for operations/OSINT, not exact role match or quote.</t>
        </is>
      </c>
    </row>
    <row r="8" ht="40" customHeight="1">
      <c r="A8" s="5" t="inlineStr">
        <is>
          <t>RATE_P3</t>
        </is>
      </c>
      <c r="B8" s="7" t="n"/>
      <c r="C8" s="5" t="inlineStr">
        <is>
          <t>GBP / partner-hour</t>
        </is>
      </c>
      <c r="D8" s="5" t="inlineStr">
        <is>
          <t>Partner input required · no default</t>
        </is>
      </c>
      <c r="E8" s="5" t="inlineStr">
        <is>
          <t>Reference only; not a partner rate or quote. YunoJuno 2025 report strategy average £65/h; Product Owner/strategy proxy, not partner quote.</t>
        </is>
      </c>
    </row>
    <row r="9" ht="40" customHeight="1">
      <c r="A9" s="5" t="inlineStr">
        <is>
          <t>DEV_DAY_RATE_MID</t>
        </is>
      </c>
      <c r="B9" s="7" t="n"/>
      <c r="C9" s="5" t="inlineStr">
        <is>
          <t>GBP / contractor-day</t>
        </is>
      </c>
      <c r="D9" s="5" t="inlineStr">
        <is>
          <t>Supplier quote required · no default</t>
        </is>
      </c>
      <c r="E9" s="5" t="inlineStr">
        <is>
          <t>Reference range only; not a supplier quote. Midpoint of Lorien UK software contractor range £400–£550/day; not supplier quote.</t>
        </is>
      </c>
    </row>
    <row r="10" ht="40" customHeight="1">
      <c r="A10" s="5" t="inlineStr">
        <is>
          <t>DEV_HOURS_DAY</t>
        </is>
      </c>
      <c r="B10" s="7" t="n">
        <v>7.5</v>
      </c>
      <c r="C10" s="5" t="inlineStr">
        <is>
          <t>hours / contractor-day</t>
        </is>
      </c>
      <c r="D10" s="5" t="inlineStr">
        <is>
          <t>[ASSUMPTION] unit conversion only</t>
        </is>
      </c>
      <c r="E10" s="5" t="inlineStr">
        <is>
          <t>Conversion basis for a contractor-day comparator; not an effort estimate.</t>
        </is>
      </c>
    </row>
    <row r="11" ht="40" customHeight="1">
      <c r="A11" s="5" t="inlineStr">
        <is>
          <t>DEV_HOURLY_RATE</t>
        </is>
      </c>
      <c r="B11" s="8">
        <f>IF(OR(B9="",B10=""),"TBD",B9/B10)</f>
        <v/>
      </c>
      <c r="C11" s="5" t="inlineStr">
        <is>
          <t>GBP / supplier-hour</t>
        </is>
      </c>
      <c r="D11" s="5" t="inlineStr">
        <is>
          <t>FORMULA · comparator only</t>
        </is>
      </c>
      <c r="E11" s="5" t="inlineStr">
        <is>
          <t>Day rate ÷ hours/day; displays TBD until a sourced day rate is entered.</t>
        </is>
      </c>
    </row>
    <row r="12" ht="40" customHeight="1">
      <c r="A12" s="5" t="inlineStr">
        <is>
          <t>PARTNER_HOURS_DAY</t>
        </is>
      </c>
      <c r="B12" s="7" t="n">
        <v>8</v>
      </c>
      <c r="C12" s="5" t="inlineStr">
        <is>
          <t>hours / working-day</t>
        </is>
      </c>
      <c r="D12" s="5" t="inlineStr">
        <is>
          <t>[ASSUMPTION] unit conversion only</t>
        </is>
      </c>
      <c r="E12" s="5" t="inlineStr">
        <is>
          <t>Conversion basis only; not a workday count or effort estimate.</t>
        </is>
      </c>
    </row>
    <row r="13" ht="40" customHeight="1">
      <c r="A13" s="5" t="inlineStr">
        <is>
          <t>DOSSIER_RECORDS</t>
        </is>
      </c>
      <c r="B13" s="9" t="n"/>
      <c r="C13" s="5" t="inlineStr">
        <is>
          <t>records / capacity scenario</t>
        </is>
      </c>
      <c r="D13" s="5" t="inlineStr">
        <is>
          <t>TBD · not an active cohort input</t>
        </is>
      </c>
      <c r="E13" s="5" t="inlineStr">
        <is>
          <t>A prior 300–500 capacity scenario and its midpoint are not an approved pilot cohort or expected participation. Do not use in costs or forecast.</t>
        </is>
      </c>
    </row>
    <row r="14" ht="48" customHeight="1">
      <c r="A14" s="5" t="inlineStr">
        <is>
          <t>DOSSIER_MEASURE_SOURCE</t>
        </is>
      </c>
      <c r="B14" s="20">
        <f>IF('Dossier Measurement'!D5="","",'Dossier Measurement'!D5)</f>
        <v/>
      </c>
      <c r="C14" s="5" t="inlineStr">
        <is>
          <t>observed person-minutes in timed sample</t>
        </is>
      </c>
      <c r="D14" s="5" t="inlineStr">
        <is>
          <t>MEASUREMENT LOG · NOT PRICE INPUT</t>
        </is>
      </c>
      <c r="E14" s="5" t="inlineStr">
        <is>
          <t>Observed Source gathering time; see Dossier Measurement. Never multiply sample hours by the capacity scenario automatically.</t>
        </is>
      </c>
    </row>
    <row r="15" ht="48" customHeight="1">
      <c r="A15" s="5" t="inlineStr">
        <is>
          <t>DOSSIER_MEASURE_RECON</t>
        </is>
      </c>
      <c r="B15" s="20">
        <f>IF('Dossier Measurement'!D6="","",'Dossier Measurement'!D6)</f>
        <v/>
      </c>
      <c r="C15" s="5" t="inlineStr">
        <is>
          <t>observed person-minutes in timed sample</t>
        </is>
      </c>
      <c r="D15" s="5" t="inlineStr">
        <is>
          <t>MEASUREMENT LOG · NOT PRICE INPUT</t>
        </is>
      </c>
      <c r="E15" s="5" t="inlineStr">
        <is>
          <t>Observed Reconciliation / evidence review time; see Dossier Measurement. Never multiply sample hours by the capacity scenario automatically.</t>
        </is>
      </c>
    </row>
    <row r="16" ht="48" customHeight="1">
      <c r="A16" s="5" t="inlineStr">
        <is>
          <t>DOSSIER_MEASURE_CORRECTION</t>
        </is>
      </c>
      <c r="B16" s="20">
        <f>IF('Dossier Measurement'!D7="","",'Dossier Measurement'!D7)</f>
        <v/>
      </c>
      <c r="C16" s="5" t="inlineStr">
        <is>
          <t>observed person-minutes in timed sample</t>
        </is>
      </c>
      <c r="D16" s="5" t="inlineStr">
        <is>
          <t>MEASUREMENT LOG · NOT PRICE INPUT</t>
        </is>
      </c>
      <c r="E16" s="5" t="inlineStr">
        <is>
          <t>Observed Correction / appeal time; see Dossier Measurement. Never multiply sample hours by the capacity scenario automatically.</t>
        </is>
      </c>
    </row>
    <row r="17" ht="40" customHeight="1">
      <c r="A17" s="5" t="inlineStr">
        <is>
          <t>REUSE_AMOUNT</t>
        </is>
      </c>
      <c r="B17" s="7" t="n"/>
      <c r="C17" s="5" t="inlineStr">
        <is>
          <t>GBP / one-time</t>
        </is>
      </c>
      <c r="D17" s="10" t="inlineStr">
        <is>
          <t>Partner decision required</t>
        </is>
      </c>
      <c r="E17" s="5" t="inlineStr">
        <is>
          <t>Optional internal allocation related to graph/search reuse only if separately agreed; not a client-facing fee and not inferred from historical work.</t>
        </is>
      </c>
    </row>
    <row r="18" ht="40" customHeight="1">
      <c r="A18" s="5" t="inlineStr">
        <is>
          <t>REUSE_STATUS</t>
        </is>
      </c>
      <c r="B18" s="6" t="inlineStr">
        <is>
          <t>Decision required</t>
        </is>
      </c>
      <c r="C18" s="5" t="inlineStr">
        <is>
          <t>Include / Excluded / Decision required</t>
        </is>
      </c>
      <c r="D18" s="10" t="inlineStr">
        <is>
          <t>PARTNER DECISION</t>
        </is>
      </c>
      <c r="E18" s="5" t="inlineStr">
        <is>
          <t>Internal fee for author of the existing graph/search demonstration module, only if this client work reuses it and partners agree the fee. Not a separate client price line if already covered by the contract total; no historic hours or fee inferred.</t>
        </is>
      </c>
    </row>
    <row r="19" ht="40" customHeight="1">
      <c r="A19" s="5" t="inlineStr">
        <is>
          <t>EXTERNAL_AMOUNT</t>
        </is>
      </c>
      <c r="B19" s="7" t="n"/>
      <c r="C19" s="5" t="inlineStr">
        <is>
          <t>GBP / one-time</t>
        </is>
      </c>
      <c r="D19" s="10" t="inlineStr">
        <is>
          <t>Supplier quote required</t>
        </is>
      </c>
      <c r="E19" s="5" t="inlineStr">
        <is>
          <t>No verified external quote; leave blank until received. An explicit Excluded status is a scope decision, not a claim of free service.</t>
        </is>
      </c>
    </row>
    <row r="20" ht="40" customHeight="1">
      <c r="A20" s="5" t="inlineStr">
        <is>
          <t>EXTERNAL_STATUS</t>
        </is>
      </c>
      <c r="B20" s="6" t="inlineStr">
        <is>
          <t>Decision required</t>
        </is>
      </c>
      <c r="C20" s="5" t="inlineStr">
        <is>
          <t>Include / Excluded / Decision required</t>
        </is>
      </c>
      <c r="D20" s="10" t="inlineStr">
        <is>
          <t>QUOTE REQUIRED</t>
        </is>
      </c>
      <c r="E20" s="5" t="inlineStr">
        <is>
          <t>Include only when amount is confirmed.</t>
        </is>
      </c>
    </row>
    <row r="21" ht="40" customHeight="1">
      <c r="A21" s="5" t="inlineStr">
        <is>
          <t>TAX_STATUS</t>
        </is>
      </c>
      <c r="B21" s="6" t="inlineStr">
        <is>
          <t>Decision required</t>
        </is>
      </c>
      <c r="C21" s="5" t="inlineStr">
        <is>
          <t>Included / Excluded</t>
        </is>
      </c>
      <c r="D21" s="10" t="inlineStr">
        <is>
          <t>DECISION REQUIRED</t>
        </is>
      </c>
      <c r="E21" s="5" t="inlineStr">
        <is>
          <t>Tax treatment is not modeled or inferred.</t>
        </is>
      </c>
    </row>
    <row r="22" ht="48" customHeight="1">
      <c r="A22" t="inlineStr">
        <is>
          <t>DOSSIER_MEASURE_APPROVAL</t>
        </is>
      </c>
      <c r="B22" s="21">
        <f>IF('Dossier Measurement'!D8="","",'Dossier Measurement'!D8)</f>
        <v/>
      </c>
      <c r="C22" t="inlineStr">
        <is>
          <t>observed person-minutes in timed sample</t>
        </is>
      </c>
      <c r="D22" t="inlineStr">
        <is>
          <t>MEASUREMENT LOG · NOT PRICE INPUT</t>
        </is>
      </c>
      <c r="E22" s="2" t="inlineStr">
        <is>
          <t>Observed Client approval time; see Dossier Measurement. Never multiply sample hours by the capacity scenario automatically.</t>
        </is>
      </c>
    </row>
    <row r="23">
      <c r="A23" s="1" t="inlineStr">
        <is>
          <t>Reusable graph + expert search · replacement-cost benchmark</t>
        </is>
      </c>
    </row>
    <row r="24">
      <c r="A24" s="4" t="inlineStr">
        <is>
          <t>Input ID</t>
        </is>
      </c>
      <c r="B24" s="4" t="inlineStr">
        <is>
          <t>Value</t>
        </is>
      </c>
      <c r="C24" s="4" t="inlineStr">
        <is>
          <t>Unit</t>
        </is>
      </c>
      <c r="D24" s="4" t="inlineStr">
        <is>
          <t>Status</t>
        </is>
      </c>
      <c r="E24" s="4" t="inlineStr">
        <is>
          <t>Origin / method / caveat</t>
        </is>
      </c>
    </row>
    <row r="25">
      <c r="A25" t="inlineStr">
        <is>
          <t>REUSE_EFFORT_BASE</t>
        </is>
      </c>
      <c r="B25" s="21">
        <f>B40</f>
        <v/>
      </c>
      <c r="C25" t="inlineStr">
        <is>
          <t>developer-days</t>
        </is>
      </c>
      <c r="D25" t="inlineStr">
        <is>
          <t>[ASSUMPTION] estimate</t>
        </is>
      </c>
      <c r="E25" s="2" t="inlineStr">
        <is>
          <t>Sum of the four scoped work packages below; not a time-tracked retrospective.</t>
        </is>
      </c>
    </row>
    <row r="26">
      <c r="A26" t="inlineStr">
        <is>
          <t>REUSE_EFFORT_LOW</t>
        </is>
      </c>
      <c r="B26" s="21" t="n">
        <v>3</v>
      </c>
      <c r="C26" t="inlineStr">
        <is>
          <t>developer-days</t>
        </is>
      </c>
      <c r="D26" t="inlineStr">
        <is>
          <t>[ASSUMPTION] range</t>
        </is>
      </c>
      <c r="E26" s="2" t="inlineStr">
        <is>
          <t>Lower planning case; validate with a developer.</t>
        </is>
      </c>
    </row>
    <row r="27">
      <c r="A27" t="inlineStr">
        <is>
          <t>REUSE_EFFORT_HIGH</t>
        </is>
      </c>
      <c r="B27" s="21" t="n">
        <v>7</v>
      </c>
      <c r="C27" t="inlineStr">
        <is>
          <t>developer-days</t>
        </is>
      </c>
      <c r="D27" t="inlineStr">
        <is>
          <t>[ASSUMPTION] range</t>
        </is>
      </c>
      <c r="E27" s="2" t="inlineStr">
        <is>
          <t>Upper planning case; validate with a developer.</t>
        </is>
      </c>
    </row>
    <row r="28">
      <c r="A28" t="inlineStr">
        <is>
          <t>REUSE_UK_DEV_DAY_RATE</t>
        </is>
      </c>
      <c r="B28" s="21" t="n">
        <v>525</v>
      </c>
      <c r="C28" t="inlineStr">
        <is>
          <t>GBP / developer-day</t>
        </is>
      </c>
      <c r="D28" t="inlineStr">
        <is>
          <t>SOURCE · market median</t>
        </is>
      </c>
      <c r="E28" s="2" t="inlineStr">
        <is>
          <t>ITJobsWatch UK Software Developer contractor median, 6 months to 2026-10-05; 256 daily rates quoted. Not a supplier quote.</t>
        </is>
      </c>
    </row>
    <row r="29">
      <c r="A29" t="inlineStr">
        <is>
          <t>REUSE_PRICE_LOW</t>
        </is>
      </c>
      <c r="B29" s="26">
        <f>B26*B28</f>
        <v/>
      </c>
      <c r="C29" t="inlineStr">
        <is>
          <t>GBP / one-time</t>
        </is>
      </c>
      <c r="D29" t="inlineStr">
        <is>
          <t>FORMULA · indicative</t>
        </is>
      </c>
      <c r="E29" s="2" t="inlineStr">
        <is>
          <t>Low effort × published UK median day rate; excludes VAT, hosting, licences, maintenance and support.</t>
        </is>
      </c>
    </row>
    <row r="30">
      <c r="A30" t="inlineStr">
        <is>
          <t>GRAPH_SEARCH_REUSE_ALLOCATION</t>
        </is>
      </c>
      <c r="B30" s="26">
        <f>B25*B28</f>
        <v/>
      </c>
      <c r="C30" t="inlineStr">
        <is>
          <t>contract currency; one-time internal allocation</t>
        </is>
      </c>
      <c r="D30" t="inlineStr">
        <is>
          <t>Partner decision required</t>
        </is>
      </c>
      <c r="E30" s="2" t="inlineStr">
        <is>
          <t>Optional internal allocation only; not an additional client fee. Set only after written partner agreement; do not infer historic payment or hours.</t>
        </is>
      </c>
    </row>
    <row r="31">
      <c r="A31" t="inlineStr">
        <is>
          <t>REUSE_PRICE_HIGH</t>
        </is>
      </c>
      <c r="B31" s="26">
        <f>B27*B28</f>
        <v/>
      </c>
      <c r="C31" t="inlineStr">
        <is>
          <t>GBP / one-time</t>
        </is>
      </c>
      <c r="D31" t="inlineStr">
        <is>
          <t>FORMULA · indicative</t>
        </is>
      </c>
      <c r="E31" s="2" t="inlineStr">
        <is>
          <t>High effort × published UK median day rate; excludes VAT, hosting, licences, maintenance and support.</t>
        </is>
      </c>
    </row>
    <row r="32">
      <c r="A32" t="inlineStr">
        <is>
          <t>REUSE_CLIENT_LINE_STATUS</t>
        </is>
      </c>
      <c r="B32" s="21" t="inlineStr">
        <is>
          <t>Decision required</t>
        </is>
      </c>
      <c r="C32" t="inlineStr">
        <is>
          <t>Include / Exclude</t>
        </is>
      </c>
      <c r="D32" t="inlineStr">
        <is>
          <t>DECISION REQUIRED · not auto-included</t>
        </is>
      </c>
      <c r="E32" s="2" t="inlineStr">
        <is>
          <t>Separate client-facing graph/search replacement-value line in Scope 2 only if expressly included by written partner/client agreement. Exclude only by an explicit decision or if already covered by the accepted total.</t>
        </is>
      </c>
    </row>
    <row r="34">
      <c r="A34" s="1" t="inlineStr">
        <is>
          <t>Replacement-effort estimate · work breakdown (planning estimate, not measured historic hours)</t>
        </is>
      </c>
    </row>
    <row r="35">
      <c r="A35" s="4" t="inlineStr">
        <is>
          <t>Activity</t>
        </is>
      </c>
      <c r="B35" s="4" t="inlineStr">
        <is>
          <t>Developer-days</t>
        </is>
      </c>
      <c r="C35" s="4" t="inlineStr">
        <is>
          <t>Included scope</t>
        </is>
      </c>
      <c r="D35" s="4" t="inlineStr">
        <is>
          <t>Status</t>
        </is>
      </c>
      <c r="E35" s="4" t="inlineStr"/>
    </row>
    <row r="36">
      <c r="A36" t="inlineStr">
        <is>
          <t>Graph rendering, layers and node interactions</t>
        </is>
      </c>
      <c r="B36" s="21" t="n">
        <v>1.5</v>
      </c>
      <c r="C36" t="inlineStr">
        <is>
          <t>NetworkGraph: graph canvas, data-to-node/link mapping, layer toggles, focus/hover interactions.</t>
        </is>
      </c>
      <c r="D36" t="inlineStr">
        <is>
          <t>[ASSUMPTION]</t>
        </is>
      </c>
    </row>
    <row r="37">
      <c r="A37" t="inlineStr">
        <is>
          <t>Expert search and filter controls</t>
        </is>
      </c>
      <c r="B37" s="21" t="n">
        <v>1</v>
      </c>
      <c r="C37" t="inlineStr">
        <is>
          <t>Text search plus verification, sector, geography, theme and role filters.</t>
        </is>
      </c>
      <c r="D37" t="inlineStr">
        <is>
          <t>[ASSUMPTION]</t>
        </is>
      </c>
    </row>
    <row r="38">
      <c r="A38" t="inlineStr">
        <is>
          <t>Expert data shaping and access plumbing</t>
        </is>
      </c>
      <c r="B38" s="21" t="n">
        <v>1</v>
      </c>
      <c r="C38" t="inlineStr">
        <is>
          <t>Searchable record fields, server-side data shaping and network/access functions.</t>
        </is>
      </c>
      <c r="D38" t="inlineStr">
        <is>
          <t>[ASSUMPTION]</t>
        </is>
      </c>
    </row>
    <row r="39">
      <c r="A39" t="inlineStr">
        <is>
          <t>Integration, responsive behavior and verification</t>
        </is>
      </c>
      <c r="B39" s="21" t="n">
        <v>1.5</v>
      </c>
      <c r="C39" t="inlineStr">
        <is>
          <t>Connect graph and filters, tune display/interaction, regression and refinement.</t>
        </is>
      </c>
      <c r="D39" t="inlineStr">
        <is>
          <t>[ASSUMPTION]</t>
        </is>
      </c>
    </row>
    <row r="40">
      <c r="A40" t="inlineStr">
        <is>
          <t>Estimated base effort</t>
        </is>
      </c>
      <c r="B40" s="27">
        <f>SUM(B36:B39)</f>
        <v/>
      </c>
      <c r="C40" t="inlineStr">
        <is>
          <t>developer-days</t>
        </is>
      </c>
      <c r="D40" t="inlineStr">
        <is>
          <t>[ASSUMPTION] estimate</t>
        </is>
      </c>
      <c r="E40" s="2" t="inlineStr">
        <is>
          <t>Effort is estimated from the inspected implementation scope. Source history proves a 9d 5h 27m calendar span between first and latest relevant file edits, not paid developer hours.</t>
        </is>
      </c>
    </row>
  </sheetData>
  <autoFilter ref="A4:E22"/>
  <mergeCells count="4">
    <mergeCell ref="A2:E2"/>
    <mergeCell ref="A34:E34"/>
    <mergeCell ref="A1:E1"/>
    <mergeCell ref="A23:E23"/>
  </mergeCells>
  <dataValidations count="3">
    <dataValidation sqref="B18 B20" showDropDown="0" showInputMessage="0" showErrorMessage="0" allowBlank="0" type="list">
      <formula1>"Include,Excluded,Decision required"</formula1>
    </dataValidation>
    <dataValidation sqref="B21" showDropDown="0" showInputMessage="0" showErrorMessage="0" allowBlank="0" type="list">
      <formula1>"Included,Excluded,Decision required"</formula1>
    </dataValidation>
    <dataValidation sqref="B32" showDropDown="0" showInputMessage="0" showErrorMessage="0" allowBlank="0" type="list">
      <formula1>"Include,Excluded,Decision required"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4" customWidth="1" min="3" max="3"/>
    <col width="15" customWidth="1" min="4" max="4"/>
    <col width="12" customWidth="1" min="5" max="5"/>
    <col width="60" customWidth="1" min="6" max="6"/>
    <col width="13" customWidth="1" min="7" max="7"/>
    <col width="22" customWidth="1" min="8" max="8"/>
    <col width="15" customWidth="1" min="9" max="9"/>
    <col width="15" customWidth="1" min="10" max="10"/>
    <col width="16" customWidth="1" min="11" max="11"/>
    <col width="17" customWidth="1" min="12" max="12"/>
    <col width="12" customWidth="1" min="13" max="13"/>
    <col width="84" customWidth="1" min="14" max="14"/>
  </cols>
  <sheetData>
    <row r="1">
      <c r="A1" s="1" t="inlineStr">
        <is>
          <t>New work breakdown · editable person-hour assumptions</t>
        </is>
      </c>
    </row>
    <row r="2" ht="34" customHeight="1">
      <c r="A2" s="2" t="inlineStr">
        <is>
          <t>No historic hours imported. Edit quantity, hours/unit, inclusion or rates. Formula: included hours × hourly rate.</t>
        </is>
      </c>
    </row>
    <row r="4" ht="36" customHeight="1">
      <c r="A4" s="4" t="inlineStr">
        <is>
          <t>Scope ID</t>
        </is>
      </c>
      <c r="B4" s="4" t="inlineStr">
        <is>
          <t>Commercial scope</t>
        </is>
      </c>
      <c r="C4" s="4" t="inlineStr">
        <is>
          <t>Work ID</t>
        </is>
      </c>
      <c r="D4" s="4" t="inlineStr">
        <is>
          <t>Cost layer</t>
        </is>
      </c>
      <c r="E4" s="4" t="inlineStr">
        <is>
          <t>Role ID</t>
        </is>
      </c>
      <c r="F4" s="4" t="inlineStr">
        <is>
          <t>Proposed deliverable / task</t>
        </is>
      </c>
      <c r="G4" s="4" t="inlineStr">
        <is>
          <t>Approved quantity (blank = TBD)</t>
        </is>
      </c>
      <c r="H4" s="4" t="inlineStr">
        <is>
          <t>Unit</t>
        </is>
      </c>
      <c r="I4" s="4" t="inlineStr">
        <is>
          <t>Approved hours/unit (blank = TBD)</t>
        </is>
      </c>
      <c r="J4" s="4" t="inlineStr">
        <is>
          <t>Person-hours</t>
        </is>
      </c>
      <c r="K4" s="4" t="inlineStr">
        <is>
          <t>Agreed rate (GBP/h)</t>
        </is>
      </c>
      <c r="L4" s="4" t="inlineStr">
        <is>
          <t>Calculated cost (GBP)</t>
        </is>
      </c>
      <c r="M4" s="4" t="inlineStr">
        <is>
          <t>Scope decision (Yes/No/TBD)</t>
        </is>
      </c>
      <c r="N4" s="4" t="inlineStr">
        <is>
          <t>Source / historical note / caveat</t>
        </is>
      </c>
    </row>
    <row r="5" ht="46" customHeight="1">
      <c r="A5" s="5" t="n">
        <v>1</v>
      </c>
      <c r="B5" s="5" t="inlineStr">
        <is>
          <t>Consulting</t>
        </is>
      </c>
      <c r="C5" s="5" t="inlineStr">
        <is>
          <t>C-P1-01</t>
        </is>
      </c>
      <c r="D5" s="5" t="inlineStr">
        <is>
          <t>Partner</t>
        </is>
      </c>
      <c r="E5" s="5" t="inlineStr">
        <is>
          <t>P1</t>
        </is>
      </c>
      <c r="F5" s="5" t="inlineStr">
        <is>
          <t>Client/board discovery and decision preparation</t>
        </is>
      </c>
      <c r="G5" s="11" t="n"/>
      <c r="H5" s="6" t="inlineStr">
        <is>
          <t>working session</t>
        </is>
      </c>
      <c r="I5" s="11" t="n"/>
      <c r="J5" s="12">
        <f>IF($M5="No",0,IF($M5&lt;&gt;"Yes","TBD",IF(OR(NOT(ISNUMBER(G5)),NOT(ISNUMBER(I5))),"TBD",G5*I5)))</f>
        <v/>
      </c>
      <c r="K5" s="13">
        <f>IF($M5="No",0,IF($M5&lt;&gt;"Yes","TBD",IF($E5="P1",IF(Inputs!$B$6="","TBD",Inputs!$B$6),IF($E5="P2",IF(Inputs!$B$7="","TBD",Inputs!$B$7),IF($E5="P3",IF(Inputs!$B$8="","TBD",Inputs!$B$8),IF($E5="DEV",IF(Inputs!$B$11="","TBD",Inputs!$B$11),"TBD"))))))</f>
        <v/>
      </c>
      <c r="L5" s="13">
        <f>IF($M5="No",0,IF($M5&lt;&gt;"Yes","TBD",IF(OR(J5="TBD",K5="TBD"),"TBD",J5*K5)))</f>
        <v/>
      </c>
      <c r="M5" s="6" t="inlineStr">
        <is>
          <t>TBD</t>
        </is>
      </c>
      <c r="N5" s="10" t="inlineStr">
        <is>
          <t>[ASSUMPTION] Two sessions including preparation and decision capture; 4 hours each. Prior planning inputs archived, inactive: quantity=2; hours/unit=4. [ASSUMPTION, not measured or approved.] Re-enter reviewed values before setting Yes.</t>
        </is>
      </c>
    </row>
    <row r="6" ht="46" customHeight="1">
      <c r="A6" s="5" t="n">
        <v>1</v>
      </c>
      <c r="B6" s="5" t="inlineStr">
        <is>
          <t>Consulting</t>
        </is>
      </c>
      <c r="C6" s="5" t="inlineStr">
        <is>
          <t>C-P1-02</t>
        </is>
      </c>
      <c r="D6" s="5" t="inlineStr">
        <is>
          <t>Partner</t>
        </is>
      </c>
      <c r="E6" s="5" t="inlineStr">
        <is>
          <t>P1</t>
        </is>
      </c>
      <c r="F6" s="5" t="inlineStr">
        <is>
          <t>Write scope and decision summary for partner review</t>
        </is>
      </c>
      <c r="G6" s="11" t="n"/>
      <c r="H6" s="6" t="inlineStr">
        <is>
          <t>written deliverable</t>
        </is>
      </c>
      <c r="I6" s="11" t="n"/>
      <c r="J6" s="12">
        <f>IF($M6="No",0,IF($M6&lt;&gt;"Yes","TBD",IF(OR(NOT(ISNUMBER(G6)),NOT(ISNUMBER(I6))),"TBD",G6*I6)))</f>
        <v/>
      </c>
      <c r="K6" s="13">
        <f>IF($M6="No",0,IF($M6&lt;&gt;"Yes","TBD",IF($E6="P1",IF(Inputs!$B$6="","TBD",Inputs!$B$6),IF($E6="P2",IF(Inputs!$B$7="","TBD",Inputs!$B$7),IF($E6="P3",IF(Inputs!$B$8="","TBD",Inputs!$B$8),IF($E6="DEV",IF(Inputs!$B$11="","TBD",Inputs!$B$11),"TBD"))))))</f>
        <v/>
      </c>
      <c r="L6" s="13">
        <f>IF($M6="No",0,IF($M6&lt;&gt;"Yes","TBD",IF(OR(J6="TBD",K6="TBD"),"TBD",J6*K6)))</f>
        <v/>
      </c>
      <c r="M6" s="6" t="inlineStr">
        <is>
          <t>TBD</t>
        </is>
      </c>
      <c r="N6" s="10" t="inlineStr">
        <is>
          <t>[ASSUMPTION] One concise synthesis deliverable; 8 hours. Prior planning inputs archived, inactive: quantity=1; hours/unit=8. [ASSUMPTION, not measured or approved.] Re-enter reviewed values before setting Yes.</t>
        </is>
      </c>
    </row>
    <row r="7" ht="46" customHeight="1">
      <c r="A7" s="5" t="n">
        <v>1</v>
      </c>
      <c r="B7" s="5" t="inlineStr">
        <is>
          <t>Consulting</t>
        </is>
      </c>
      <c r="C7" s="5" t="inlineStr">
        <is>
          <t>C-P2-01</t>
        </is>
      </c>
      <c r="D7" s="5" t="inlineStr">
        <is>
          <t>Partner</t>
        </is>
      </c>
      <c r="E7" s="5" t="inlineStr">
        <is>
          <t>P2</t>
        </is>
      </c>
      <c r="F7" s="5" t="inlineStr">
        <is>
          <t>Design authorized outreach, response and evidence-record process</t>
        </is>
      </c>
      <c r="G7" s="11" t="n"/>
      <c r="H7" s="6" t="inlineStr">
        <is>
          <t>working day</t>
        </is>
      </c>
      <c r="I7" s="12" t="n"/>
      <c r="J7" s="12">
        <f>IF($M7="No",0,IF($M7&lt;&gt;"Yes","TBD",IF(OR(NOT(ISNUMBER(G7)),NOT(ISNUMBER(I7))),"TBD",G7*I7)))</f>
        <v/>
      </c>
      <c r="K7" s="13">
        <f>IF($M7="No",0,IF($M7&lt;&gt;"Yes","TBD",IF($E7="P1",IF(Inputs!$B$6="","TBD",Inputs!$B$6),IF($E7="P2",IF(Inputs!$B$7="","TBD",Inputs!$B$7),IF($E7="P3",IF(Inputs!$B$8="","TBD",Inputs!$B$8),IF($E7="DEV",IF(Inputs!$B$11="","TBD",Inputs!$B$11),"TBD"))))))</f>
        <v/>
      </c>
      <c r="L7" s="13">
        <f>IF($M7="No",0,IF($M7&lt;&gt;"Yes","TBD",IF(OR(J7="TBD",K7="TBD"),"TBD",J7*K7)))</f>
        <v/>
      </c>
      <c r="M7" s="6" t="inlineStr">
        <is>
          <t>TBD</t>
        </is>
      </c>
      <c r="N7" s="10" t="inlineStr">
        <is>
          <t>[ASSUMPTION] Two 8-hour days for process design; excludes campaign execution. Prior planning inputs archived, inactive: quantity=2; hours/unit='=Inputs!$B$12'. [ASSUMPTION, not measured or approved.] Re-enter reviewed values before setting Yes.</t>
        </is>
      </c>
    </row>
    <row r="8" ht="46" customHeight="1">
      <c r="A8" s="5" t="n">
        <v>1</v>
      </c>
      <c r="B8" s="5" t="inlineStr">
        <is>
          <t>Consulting</t>
        </is>
      </c>
      <c r="C8" s="5" t="inlineStr">
        <is>
          <t>C-P3-01</t>
        </is>
      </c>
      <c r="D8" s="5" t="inlineStr">
        <is>
          <t>Partner</t>
        </is>
      </c>
      <c r="E8" s="5" t="inlineStr">
        <is>
          <t>P3</t>
        </is>
      </c>
      <c r="F8" s="5" t="inlineStr">
        <is>
          <t>Prepare Trust &amp; Influence strategic session</t>
        </is>
      </c>
      <c r="G8" s="11" t="n"/>
      <c r="H8" s="6" t="inlineStr">
        <is>
          <t>working day</t>
        </is>
      </c>
      <c r="I8" s="12" t="n"/>
      <c r="J8" s="12">
        <f>IF($M8="No",0,IF($M8&lt;&gt;"Yes","TBD",IF(OR(NOT(ISNUMBER(G8)),NOT(ISNUMBER(I8))),"TBD",G8*I8)))</f>
        <v/>
      </c>
      <c r="K8" s="13">
        <f>IF($M8="No",0,IF($M8&lt;&gt;"Yes","TBD",IF($E8="P1",IF(Inputs!$B$6="","TBD",Inputs!$B$6),IF($E8="P2",IF(Inputs!$B$7="","TBD",Inputs!$B$7),IF($E8="P3",IF(Inputs!$B$8="","TBD",Inputs!$B$8),IF($E8="DEV",IF(Inputs!$B$11="","TBD",Inputs!$B$11),"TBD"))))))</f>
        <v/>
      </c>
      <c r="L8" s="13">
        <f>IF($M8="No",0,IF($M8&lt;&gt;"Yes","TBD",IF(OR(J8="TBD",K8="TBD"),"TBD",J8*K8)))</f>
        <v/>
      </c>
      <c r="M8" s="6" t="inlineStr">
        <is>
          <t>TBD</t>
        </is>
      </c>
      <c r="N8" s="14" t="inlineStr">
        <is>
          <t>[SOURCE RANGE + ASSUMPTION] Source states 2–3 preparation days for one preparer; 2.5 midpoint × 8 hours/day = 20 hours. Preparation only. Prior planning inputs archived, inactive: quantity=2.5; hours/unit='=Inputs!$B$12'. [ASSUMPTION, not measured or approved.] Re-enter reviewed values before setting Yes.</t>
        </is>
      </c>
    </row>
    <row r="9" ht="46" customHeight="1">
      <c r="A9" s="5" t="n">
        <v>1</v>
      </c>
      <c r="B9" s="5" t="inlineStr">
        <is>
          <t>Consulting</t>
        </is>
      </c>
      <c r="C9" s="5" t="inlineStr">
        <is>
          <t>C-P3-02</t>
        </is>
      </c>
      <c r="D9" s="5" t="inlineStr">
        <is>
          <t>Partner</t>
        </is>
      </c>
      <c r="E9" s="5" t="inlineStr">
        <is>
          <t>P3</t>
        </is>
      </c>
      <c r="F9" s="5" t="inlineStr">
        <is>
          <t>Facilitate strategic session and synthesize decisions</t>
        </is>
      </c>
      <c r="G9" s="11" t="n"/>
      <c r="H9" s="6" t="inlineStr">
        <is>
          <t>session package</t>
        </is>
      </c>
      <c r="I9" s="11" t="n"/>
      <c r="J9" s="12">
        <f>IF($M9="No",0,IF($M9&lt;&gt;"Yes","TBD",IF(OR(NOT(ISNUMBER(G9)),NOT(ISNUMBER(I9))),"TBD",G9*I9)))</f>
        <v/>
      </c>
      <c r="K9" s="13">
        <f>IF($M9="No",0,IF($M9&lt;&gt;"Yes","TBD",IF($E9="P1",IF(Inputs!$B$6="","TBD",Inputs!$B$6),IF($E9="P2",IF(Inputs!$B$7="","TBD",Inputs!$B$7),IF($E9="P3",IF(Inputs!$B$8="","TBD",Inputs!$B$8),IF($E9="DEV",IF(Inputs!$B$11="","TBD",Inputs!$B$11),"TBD"))))))</f>
        <v/>
      </c>
      <c r="L9" s="13">
        <f>IF($M9="No",0,IF($M9&lt;&gt;"Yes","TBD",IF(OR(J9="TBD",K9="TBD"),"TBD",J9*K9)))</f>
        <v/>
      </c>
      <c r="M9" s="6" t="inlineStr">
        <is>
          <t>TBD</t>
        </is>
      </c>
      <c r="N9" s="10" t="inlineStr">
        <is>
          <t>[ASSUMPTION] Facilitation, notes and synthesis; distinct from preparation. Prior planning inputs archived, inactive: quantity=1; hours/unit=12. [ASSUMPTION, not measured or approved.] Re-enter reviewed values before setting Yes.</t>
        </is>
      </c>
    </row>
    <row r="10" ht="46" customHeight="1">
      <c r="A10" s="5" t="n">
        <v>1</v>
      </c>
      <c r="B10" s="5" t="inlineStr">
        <is>
          <t>Consulting</t>
        </is>
      </c>
      <c r="C10" s="5" t="inlineStr">
        <is>
          <t>C-P3-03</t>
        </is>
      </c>
      <c r="D10" s="5" t="inlineStr">
        <is>
          <t>Partner</t>
        </is>
      </c>
      <c r="E10" s="5" t="inlineStr">
        <is>
          <t>P3</t>
        </is>
      </c>
      <c r="F10" s="5" t="inlineStr">
        <is>
          <t>Draft co-designed Trust &amp; Influence model and protocol</t>
        </is>
      </c>
      <c r="G10" s="11" t="n"/>
      <c r="H10" s="6" t="inlineStr">
        <is>
          <t>working day</t>
        </is>
      </c>
      <c r="I10" s="12" t="n"/>
      <c r="J10" s="12">
        <f>IF($M10="No",0,IF($M10&lt;&gt;"Yes","TBD",IF(OR(NOT(ISNUMBER(G10)),NOT(ISNUMBER(I10))),"TBD",G10*I10)))</f>
        <v/>
      </c>
      <c r="K10" s="13">
        <f>IF($M10="No",0,IF($M10&lt;&gt;"Yes","TBD",IF($E10="P1",IF(Inputs!$B$6="","TBD",Inputs!$B$6),IF($E10="P2",IF(Inputs!$B$7="","TBD",Inputs!$B$7),IF($E10="P3",IF(Inputs!$B$8="","TBD",Inputs!$B$8),IF($E10="DEV",IF(Inputs!$B$11="","TBD",Inputs!$B$11),"TBD"))))))</f>
        <v/>
      </c>
      <c r="L10" s="13">
        <f>IF($M10="No",0,IF($M10&lt;&gt;"Yes","TBD",IF(OR(J10="TBD",K10="TBD"),"TBD",J10*K10)))</f>
        <v/>
      </c>
      <c r="M10" s="6" t="inlineStr">
        <is>
          <t>TBD</t>
        </is>
      </c>
      <c r="N10" s="10" t="inlineStr">
        <is>
          <t>[ASSUMPTION] Two days for first draft; not external validation or validated sector index. Prior planning inputs archived, inactive: quantity=2; hours/unit='=Inputs!$B$12'. [ASSUMPTION, not measured or approved.] Re-enter reviewed values before setting Yes.</t>
        </is>
      </c>
    </row>
    <row r="11" ht="46" customHeight="1">
      <c r="A11" s="5" t="n">
        <v>2</v>
      </c>
      <c r="B11" s="5" t="inlineStr">
        <is>
          <t>Application MVP</t>
        </is>
      </c>
      <c r="C11" s="5" t="inlineStr">
        <is>
          <t>M-P1-01</t>
        </is>
      </c>
      <c r="D11" s="5" t="inlineStr">
        <is>
          <t>Partner</t>
        </is>
      </c>
      <c r="E11" s="5" t="inlineStr">
        <is>
          <t>P1</t>
        </is>
      </c>
      <c r="F11" s="5" t="inlineStr">
        <is>
          <t>Confirm user workflow and acceptance decisions for MVP</t>
        </is>
      </c>
      <c r="G11" s="11" t="n"/>
      <c r="H11" s="6" t="inlineStr">
        <is>
          <t>working session</t>
        </is>
      </c>
      <c r="I11" s="11" t="n"/>
      <c r="J11" s="12">
        <f>IF($M11="No",0,IF($M11&lt;&gt;"Yes","TBD",IF(OR(NOT(ISNUMBER(G11)),NOT(ISNUMBER(I11))),"TBD",G11*I11)))</f>
        <v/>
      </c>
      <c r="K11" s="13">
        <f>IF($M11="No",0,IF($M11&lt;&gt;"Yes","TBD",IF($E11="P1",IF(Inputs!$B$6="","TBD",Inputs!$B$6),IF($E11="P2",IF(Inputs!$B$7="","TBD",Inputs!$B$7),IF($E11="P3",IF(Inputs!$B$8="","TBD",Inputs!$B$8),IF($E11="DEV",IF(Inputs!$B$11="","TBD",Inputs!$B$11),"TBD"))))))</f>
        <v/>
      </c>
      <c r="L11" s="13">
        <f>IF($M11="No",0,IF($M11&lt;&gt;"Yes","TBD",IF(OR(J11="TBD",K11="TBD"),"TBD",J11*K11)))</f>
        <v/>
      </c>
      <c r="M11" s="6" t="inlineStr">
        <is>
          <t>TBD</t>
        </is>
      </c>
      <c r="N11" s="10" t="inlineStr">
        <is>
          <t>[ASSUMPTION] Two review sessions; client owns final decisions. Prior planning inputs archived, inactive: quantity=2; hours/unit=4. [ASSUMPTION, not measured or approved.] Re-enter reviewed values before setting Yes.</t>
        </is>
      </c>
    </row>
    <row r="12" ht="46" customHeight="1">
      <c r="A12" s="5" t="n">
        <v>2</v>
      </c>
      <c r="B12" s="5" t="inlineStr">
        <is>
          <t>Application MVP</t>
        </is>
      </c>
      <c r="C12" s="5" t="inlineStr">
        <is>
          <t>M-P2-01</t>
        </is>
      </c>
      <c r="D12" s="5" t="inlineStr">
        <is>
          <t>Partner</t>
        </is>
      </c>
      <c r="E12" s="5" t="inlineStr">
        <is>
          <t>P2</t>
        </is>
      </c>
      <c r="F12" s="5" t="inlineStr">
        <is>
          <t>Define approved data reconciliation and first-contact operating steps</t>
        </is>
      </c>
      <c r="G12" s="11" t="n"/>
      <c r="H12" s="6" t="inlineStr">
        <is>
          <t>working day</t>
        </is>
      </c>
      <c r="I12" s="12" t="n"/>
      <c r="J12" s="12">
        <f>IF($M12="No",0,IF($M12&lt;&gt;"Yes","TBD",IF(OR(NOT(ISNUMBER(G12)),NOT(ISNUMBER(I12))),"TBD",G12*I12)))</f>
        <v/>
      </c>
      <c r="K12" s="13">
        <f>IF($M12="No",0,IF($M12&lt;&gt;"Yes","TBD",IF($E12="P1",IF(Inputs!$B$6="","TBD",Inputs!$B$6),IF($E12="P2",IF(Inputs!$B$7="","TBD",Inputs!$B$7),IF($E12="P3",IF(Inputs!$B$8="","TBD",Inputs!$B$8),IF($E12="DEV",IF(Inputs!$B$11="","TBD",Inputs!$B$11),"TBD"))))))</f>
        <v/>
      </c>
      <c r="L12" s="13">
        <f>IF($M12="No",0,IF($M12&lt;&gt;"Yes","TBD",IF(OR(J12="TBD",K12="TBD"),"TBD",J12*K12)))</f>
        <v/>
      </c>
      <c r="M12" s="6" t="inlineStr">
        <is>
          <t>TBD</t>
        </is>
      </c>
      <c r="N12" s="10" t="inlineStr">
        <is>
          <t>[ASSUMPTION] Two days to document human review and permissioned operations. Prior planning inputs archived, inactive: quantity=2; hours/unit='=Inputs!$B$12'. [ASSUMPTION, not measured or approved.] Re-enter reviewed values before setting Yes.</t>
        </is>
      </c>
    </row>
    <row r="13" ht="46" customHeight="1">
      <c r="A13" s="5" t="n">
        <v>2</v>
      </c>
      <c r="B13" s="5" t="inlineStr">
        <is>
          <t>Application MVP</t>
        </is>
      </c>
      <c r="C13" s="5" t="inlineStr">
        <is>
          <t>M-P3-01</t>
        </is>
      </c>
      <c r="D13" s="5" t="inlineStr">
        <is>
          <t>Partner</t>
        </is>
      </c>
      <c r="E13" s="5" t="inlineStr">
        <is>
          <t>P3</t>
        </is>
      </c>
      <c r="F13" s="5" t="inlineStr">
        <is>
          <t>Translate accepted MVP scope into backlog and coordinate supplier</t>
        </is>
      </c>
      <c r="G13" s="11" t="n"/>
      <c r="H13" s="6" t="inlineStr">
        <is>
          <t>working day</t>
        </is>
      </c>
      <c r="I13" s="12" t="n"/>
      <c r="J13" s="12">
        <f>IF($M13="No",0,IF($M13&lt;&gt;"Yes","TBD",IF(OR(NOT(ISNUMBER(G13)),NOT(ISNUMBER(I13))),"TBD",G13*I13)))</f>
        <v/>
      </c>
      <c r="K13" s="13">
        <f>IF($M13="No",0,IF($M13&lt;&gt;"Yes","TBD",IF($E13="P1",IF(Inputs!$B$6="","TBD",Inputs!$B$6),IF($E13="P2",IF(Inputs!$B$7="","TBD",Inputs!$B$7),IF($E13="P3",IF(Inputs!$B$8="","TBD",Inputs!$B$8),IF($E13="DEV",IF(Inputs!$B$11="","TBD",Inputs!$B$11),"TBD"))))))</f>
        <v/>
      </c>
      <c r="L13" s="13">
        <f>IF($M13="No",0,IF($M13&lt;&gt;"Yes","TBD",IF(OR(J13="TBD",K13="TBD"),"TBD",J13*K13)))</f>
        <v/>
      </c>
      <c r="M13" s="6" t="inlineStr">
        <is>
          <t>TBD</t>
        </is>
      </c>
      <c r="N13" s="10" t="inlineStr">
        <is>
          <t>[ASSUMPTION] Four days for PO/dependency/acceptance coordination; excludes coding. Prior planning inputs archived, inactive: quantity=4; hours/unit='=Inputs!$B$12'. [ASSUMPTION, not measured or approved.] Re-enter reviewed values before setting Yes.</t>
        </is>
      </c>
    </row>
    <row r="14" ht="46" customHeight="1">
      <c r="A14" s="5" t="n">
        <v>2</v>
      </c>
      <c r="B14" s="5" t="inlineStr">
        <is>
          <t>Application MVP</t>
        </is>
      </c>
      <c r="C14" s="5" t="inlineStr">
        <is>
          <t>M-DEV-01</t>
        </is>
      </c>
      <c r="D14" s="5" t="inlineStr">
        <is>
          <t>Software</t>
        </is>
      </c>
      <c r="E14" s="5" t="inlineStr">
        <is>
          <t>DEV</t>
        </is>
      </c>
      <c r="F14" s="5" t="inlineStr">
        <is>
          <t>Reconcile exact demonstration build against production requirements</t>
        </is>
      </c>
      <c r="G14" s="11" t="n"/>
      <c r="H14" s="6" t="inlineStr">
        <is>
          <t>contractor day</t>
        </is>
      </c>
      <c r="I14" s="12" t="n"/>
      <c r="J14" s="12">
        <f>IF($M14="No",0,IF($M14&lt;&gt;"Yes","TBD",IF(OR(NOT(ISNUMBER(G14)),NOT(ISNUMBER(I14))),"TBD",G14*I14)))</f>
        <v/>
      </c>
      <c r="K14" s="13">
        <f>IF($M14="No",0,IF($M14&lt;&gt;"Yes","TBD",IF($E14="P1",IF(Inputs!$B$6="","TBD",Inputs!$B$6),IF($E14="P2",IF(Inputs!$B$7="","TBD",Inputs!$B$7),IF($E14="P3",IF(Inputs!$B$8="","TBD",Inputs!$B$8),IF($E14="DEV",IF(Inputs!$B$11="","TBD",Inputs!$B$11),"TBD"))))))</f>
        <v/>
      </c>
      <c r="L14" s="13">
        <f>IF($M14="No",0,IF($M14&lt;&gt;"Yes","TBD",IF(OR(J14="TBD",K14="TBD"),"TBD",J14*K14)))</f>
        <v/>
      </c>
      <c r="M14" s="6" t="inlineStr">
        <is>
          <t>TBD</t>
        </is>
      </c>
      <c r="N14" s="10" t="inlineStr">
        <is>
          <t>[ASSUMPTION] Demo inventory and residual-work validation; not a full rebuild. Prior planning inputs archived, inactive: quantity=2; hours/unit='=Inputs!$B$10'. [ASSUMPTION, not measured or approved.] Re-enter reviewed values before setting Yes.</t>
        </is>
      </c>
    </row>
    <row r="15" ht="46" customHeight="1">
      <c r="A15" s="5" t="n">
        <v>2</v>
      </c>
      <c r="B15" s="5" t="inlineStr">
        <is>
          <t>Application MVP</t>
        </is>
      </c>
      <c r="C15" s="5" t="inlineStr">
        <is>
          <t>M-DEV-02</t>
        </is>
      </c>
      <c r="D15" s="5" t="inlineStr">
        <is>
          <t>Software</t>
        </is>
      </c>
      <c r="E15" s="5" t="inlineStr">
        <is>
          <t>DEV</t>
        </is>
      </c>
      <c r="F15" s="5" t="inlineStr">
        <is>
          <t>Persist named groups and project assignments</t>
        </is>
      </c>
      <c r="G15" s="11" t="n"/>
      <c r="H15" s="6" t="inlineStr">
        <is>
          <t>contractor day</t>
        </is>
      </c>
      <c r="I15" s="12" t="n"/>
      <c r="J15" s="12">
        <f>IF($M15="No",0,IF($M15&lt;&gt;"Yes","TBD",IF(OR(NOT(ISNUMBER(G15)),NOT(ISNUMBER(I15))),"TBD",G15*I15)))</f>
        <v/>
      </c>
      <c r="K15" s="13">
        <f>IF($M15="No",0,IF($M15&lt;&gt;"Yes","TBD",IF($E15="P1",IF(Inputs!$B$6="","TBD",Inputs!$B$6),IF($E15="P2",IF(Inputs!$B$7="","TBD",Inputs!$B$7),IF($E15="P3",IF(Inputs!$B$8="","TBD",Inputs!$B$8),IF($E15="DEV",IF(Inputs!$B$11="","TBD",Inputs!$B$11),"TBD"))))))</f>
        <v/>
      </c>
      <c r="L15" s="13">
        <f>IF($M15="No",0,IF($M15&lt;&gt;"Yes","TBD",IF(OR(J15="TBD",K15="TBD"),"TBD",J15*K15)))</f>
        <v/>
      </c>
      <c r="M15" s="6" t="inlineStr">
        <is>
          <t>TBD</t>
        </is>
      </c>
      <c r="N15" s="10" t="inlineStr">
        <is>
          <t>[ASSUMPTION] Persistence and project linkage; verify after code review. Prior planning inputs archived, inactive: quantity=6; hours/unit='=Inputs!$B$10'. [ASSUMPTION, not measured or approved.] Re-enter reviewed values before setting Yes.</t>
        </is>
      </c>
    </row>
    <row r="16" ht="46" customHeight="1">
      <c r="A16" s="5" t="n">
        <v>2</v>
      </c>
      <c r="B16" s="5" t="inlineStr">
        <is>
          <t>Application MVP</t>
        </is>
      </c>
      <c r="C16" s="5" t="inlineStr">
        <is>
          <t>M-DEV-03</t>
        </is>
      </c>
      <c r="D16" s="5" t="inlineStr">
        <is>
          <t>Software</t>
        </is>
      </c>
      <c r="E16" s="5" t="inlineStr">
        <is>
          <t>DEV</t>
        </is>
      </c>
      <c r="F16" s="5" t="inlineStr">
        <is>
          <t>Implement approved data upload, validation and human reconciliation workflow</t>
        </is>
      </c>
      <c r="G16" s="11" t="n"/>
      <c r="H16" s="6" t="inlineStr">
        <is>
          <t>contractor day</t>
        </is>
      </c>
      <c r="I16" s="12" t="n"/>
      <c r="J16" s="12">
        <f>IF($M16="No",0,IF($M16&lt;&gt;"Yes","TBD",IF(OR(NOT(ISNUMBER(G16)),NOT(ISNUMBER(I16))),"TBD",G16*I16)))</f>
        <v/>
      </c>
      <c r="K16" s="13">
        <f>IF($M16="No",0,IF($M16&lt;&gt;"Yes","TBD",IF($E16="P1",IF(Inputs!$B$6="","TBD",Inputs!$B$6),IF($E16="P2",IF(Inputs!$B$7="","TBD",Inputs!$B$7),IF($E16="P3",IF(Inputs!$B$8="","TBD",Inputs!$B$8),IF($E16="DEV",IF(Inputs!$B$11="","TBD",Inputs!$B$11),"TBD"))))))</f>
        <v/>
      </c>
      <c r="L16" s="13">
        <f>IF($M16="No",0,IF($M16&lt;&gt;"Yes","TBD",IF(OR(J16="TBD",K16="TBD"),"TBD",J16*K16)))</f>
        <v/>
      </c>
      <c r="M16" s="6" t="inlineStr">
        <is>
          <t>TBD</t>
        </is>
      </c>
      <c r="N16" s="10" t="inlineStr">
        <is>
          <t>[ASSUMPTION] One agreed input format and review workflow. Prior planning inputs archived, inactive: quantity=5; hours/unit='=Inputs!$B$10'. [ASSUMPTION, not measured or approved.] Re-enter reviewed values before setting Yes.</t>
        </is>
      </c>
    </row>
    <row r="17" ht="46" customHeight="1">
      <c r="A17" s="5" t="n">
        <v>2</v>
      </c>
      <c r="B17" s="5" t="inlineStr">
        <is>
          <t>Application MVP</t>
        </is>
      </c>
      <c r="C17" s="5" t="inlineStr">
        <is>
          <t>M-DEV-04</t>
        </is>
      </c>
      <c r="D17" s="5" t="inlineStr">
        <is>
          <t>Software</t>
        </is>
      </c>
      <c r="E17" s="5" t="inlineStr">
        <is>
          <t>DEV</t>
        </is>
      </c>
      <c r="F17" s="5" t="inlineStr">
        <is>
          <t>Implement permission boundaries and audit history for MVP workflow</t>
        </is>
      </c>
      <c r="G17" s="11" t="n"/>
      <c r="H17" s="6" t="inlineStr">
        <is>
          <t>contractor day</t>
        </is>
      </c>
      <c r="I17" s="12" t="n"/>
      <c r="J17" s="12">
        <f>IF($M17="No",0,IF($M17&lt;&gt;"Yes","TBD",IF(OR(NOT(ISNUMBER(G17)),NOT(ISNUMBER(I17))),"TBD",G17*I17)))</f>
        <v/>
      </c>
      <c r="K17" s="13">
        <f>IF($M17="No",0,IF($M17&lt;&gt;"Yes","TBD",IF($E17="P1",IF(Inputs!$B$6="","TBD",Inputs!$B$6),IF($E17="P2",IF(Inputs!$B$7="","TBD",Inputs!$B$7),IF($E17="P3",IF(Inputs!$B$8="","TBD",Inputs!$B$8),IF($E17="DEV",IF(Inputs!$B$11="","TBD",Inputs!$B$11),"TBD"))))))</f>
        <v/>
      </c>
      <c r="L17" s="13">
        <f>IF($M17="No",0,IF($M17&lt;&gt;"Yes","TBD",IF(OR(J17="TBD",K17="TBD"),"TBD",J17*K17)))</f>
        <v/>
      </c>
      <c r="M17" s="6" t="inlineStr">
        <is>
          <t>TBD</t>
        </is>
      </c>
      <c r="N17" s="10" t="inlineStr">
        <is>
          <t>[ASSUMPTION] Bounded roles/access and audit trail; security review required. Prior planning inputs archived, inactive: quantity=4; hours/unit='=Inputs!$B$10'. [ASSUMPTION, not measured or approved.] Re-enter reviewed values before setting Yes.</t>
        </is>
      </c>
    </row>
    <row r="18" ht="46" customHeight="1">
      <c r="A18" s="5" t="n">
        <v>2</v>
      </c>
      <c r="B18" s="5" t="inlineStr">
        <is>
          <t>Application MVP</t>
        </is>
      </c>
      <c r="C18" s="5" t="inlineStr">
        <is>
          <t>M-DEV-05</t>
        </is>
      </c>
      <c r="D18" s="5" t="inlineStr">
        <is>
          <t>Software</t>
        </is>
      </c>
      <c r="E18" s="5" t="inlineStr">
        <is>
          <t>DEV</t>
        </is>
      </c>
      <c r="F18" s="5" t="inlineStr">
        <is>
          <t>Implement permission-gated first-contact workflow</t>
        </is>
      </c>
      <c r="G18" s="11" t="n"/>
      <c r="H18" s="6" t="inlineStr">
        <is>
          <t>contractor day</t>
        </is>
      </c>
      <c r="I18" s="12" t="n"/>
      <c r="J18" s="12">
        <f>IF($M18="No",0,IF($M18&lt;&gt;"Yes","TBD",IF(OR(NOT(ISNUMBER(G18)),NOT(ISNUMBER(I18))),"TBD",G18*I18)))</f>
        <v/>
      </c>
      <c r="K18" s="13">
        <f>IF($M18="No",0,IF($M18&lt;&gt;"Yes","TBD",IF($E18="P1",IF(Inputs!$B$6="","TBD",Inputs!$B$6),IF($E18="P2",IF(Inputs!$B$7="","TBD",Inputs!$B$7),IF($E18="P3",IF(Inputs!$B$8="","TBD",Inputs!$B$8),IF($E18="DEV",IF(Inputs!$B$11="","TBD",Inputs!$B$11),"TBD"))))))</f>
        <v/>
      </c>
      <c r="L18" s="13">
        <f>IF($M18="No",0,IF($M18&lt;&gt;"Yes","TBD",IF(OR(J18="TBD",K18="TBD"),"TBD",J18*K18)))</f>
        <v/>
      </c>
      <c r="M18" s="6" t="inlineStr">
        <is>
          <t>TBD</t>
        </is>
      </c>
      <c r="N18" s="10" t="inlineStr">
        <is>
          <t>[ASSUMPTION] One approved channel; excludes channel fees and automated social outreach. Prior planning inputs archived, inactive: quantity=3; hours/unit='=Inputs!$B$10'. [ASSUMPTION, not measured or approved.] Re-enter reviewed values before setting Yes.</t>
        </is>
      </c>
    </row>
    <row r="19" ht="46" customHeight="1">
      <c r="A19" s="5" t="n">
        <v>2</v>
      </c>
      <c r="B19" s="5" t="inlineStr">
        <is>
          <t>Application MVP</t>
        </is>
      </c>
      <c r="C19" s="5" t="inlineStr">
        <is>
          <t>M-DEV-06</t>
        </is>
      </c>
      <c r="D19" s="5" t="inlineStr">
        <is>
          <t>Software</t>
        </is>
      </c>
      <c r="E19" s="5" t="inlineStr">
        <is>
          <t>DEV</t>
        </is>
      </c>
      <c r="F19" s="5" t="inlineStr">
        <is>
          <t>Test, recovery checks and implementation handover for MVP</t>
        </is>
      </c>
      <c r="G19" s="11" t="n"/>
      <c r="H19" s="6" t="inlineStr">
        <is>
          <t>contractor day</t>
        </is>
      </c>
      <c r="I19" s="12" t="n"/>
      <c r="J19" s="12">
        <f>IF($M19="No",0,IF($M19&lt;&gt;"Yes","TBD",IF(OR(NOT(ISNUMBER(G19)),NOT(ISNUMBER(I19))),"TBD",G19*I19)))</f>
        <v/>
      </c>
      <c r="K19" s="13">
        <f>IF($M19="No",0,IF($M19&lt;&gt;"Yes","TBD",IF($E19="P1",IF(Inputs!$B$6="","TBD",Inputs!$B$6),IF($E19="P2",IF(Inputs!$B$7="","TBD",Inputs!$B$7),IF($E19="P3",IF(Inputs!$B$8="","TBD",Inputs!$B$8),IF($E19="DEV",IF(Inputs!$B$11="","TBD",Inputs!$B$11),"TBD"))))))</f>
        <v/>
      </c>
      <c r="L19" s="13">
        <f>IF($M19="No",0,IF($M19&lt;&gt;"Yes","TBD",IF(OR(J19="TBD",K19="TBD"),"TBD",J19*K19)))</f>
        <v/>
      </c>
      <c r="M19" s="6" t="inlineStr">
        <is>
          <t>TBD</t>
        </is>
      </c>
      <c r="N19" s="10" t="inlineStr">
        <is>
          <t>[ASSUMPTION] Scoped QA/recovery/handover; not independent security certification. Prior planning inputs archived, inactive: quantity=4; hours/unit='=Inputs!$B$10'. [ASSUMPTION, not measured or approved.] Re-enter reviewed values before setting Yes.</t>
        </is>
      </c>
    </row>
    <row r="20" ht="46" customHeight="1">
      <c r="A20" s="5" t="n">
        <v>3</v>
      </c>
      <c r="B20" s="5" t="inlineStr">
        <is>
          <t>Pilot functionality</t>
        </is>
      </c>
      <c r="C20" s="5" t="inlineStr">
        <is>
          <t>P-P1-01</t>
        </is>
      </c>
      <c r="D20" s="5" t="inlineStr">
        <is>
          <t>Partner</t>
        </is>
      </c>
      <c r="E20" s="5" t="inlineStr">
        <is>
          <t>P1</t>
        </is>
      </c>
      <c r="F20" s="5" t="inlineStr">
        <is>
          <t>Facilitate pilot purpose, decision gates and acceptance outcomes</t>
        </is>
      </c>
      <c r="G20" s="11" t="n"/>
      <c r="H20" s="6" t="inlineStr">
        <is>
          <t>working session</t>
        </is>
      </c>
      <c r="I20" s="11" t="n"/>
      <c r="J20" s="12">
        <f>IF($M20="No",0,IF($M20&lt;&gt;"Yes","TBD",IF(OR(NOT(ISNUMBER(G20)),NOT(ISNUMBER(I20))),"TBD",G20*I20)))</f>
        <v/>
      </c>
      <c r="K20" s="13">
        <f>IF($M20="No",0,IF($M20&lt;&gt;"Yes","TBD",IF($E20="P1",IF(Inputs!$B$6="","TBD",Inputs!$B$6),IF($E20="P2",IF(Inputs!$B$7="","TBD",Inputs!$B$7),IF($E20="P3",IF(Inputs!$B$8="","TBD",Inputs!$B$8),IF($E20="DEV",IF(Inputs!$B$11="","TBD",Inputs!$B$11),"TBD"))))))</f>
        <v/>
      </c>
      <c r="L20" s="13">
        <f>IF($M20="No",0,IF($M20&lt;&gt;"Yes","TBD",IF(OR(J20="TBD",K20="TBD"),"TBD",J20*K20)))</f>
        <v/>
      </c>
      <c r="M20" s="6" t="inlineStr">
        <is>
          <t>TBD</t>
        </is>
      </c>
      <c r="N20" s="10" t="inlineStr">
        <is>
          <t>[ASSUMPTION] Two sessions; no promise of recruitment or client approval. Prior planning inputs archived, inactive: quantity=2; hours/unit=4. [ASSUMPTION, not measured or approved.] Re-enter reviewed values before setting Yes.</t>
        </is>
      </c>
    </row>
    <row r="21" ht="46" customHeight="1">
      <c r="A21" s="5" t="n">
        <v>3</v>
      </c>
      <c r="B21" s="5" t="inlineStr">
        <is>
          <t>Pilot functionality</t>
        </is>
      </c>
      <c r="C21" s="5" t="inlineStr">
        <is>
          <t>P-P1-02</t>
        </is>
      </c>
      <c r="D21" s="5" t="inlineStr">
        <is>
          <t>Partner</t>
        </is>
      </c>
      <c r="E21" s="5" t="inlineStr">
        <is>
          <t>P1</t>
        </is>
      </c>
      <c r="F21" s="5" t="inlineStr">
        <is>
          <t>Prepare client/board pilot findings and continuation decision brief</t>
        </is>
      </c>
      <c r="G21" s="11" t="n"/>
      <c r="H21" s="6" t="inlineStr">
        <is>
          <t>working day</t>
        </is>
      </c>
      <c r="I21" s="12" t="n"/>
      <c r="J21" s="12">
        <f>IF($M21="No",0,IF($M21&lt;&gt;"Yes","TBD",IF(OR(NOT(ISNUMBER(G21)),NOT(ISNUMBER(I21))),"TBD",G21*I21)))</f>
        <v/>
      </c>
      <c r="K21" s="13">
        <f>IF($M21="No",0,IF($M21&lt;&gt;"Yes","TBD",IF($E21="P1",IF(Inputs!$B$6="","TBD",Inputs!$B$6),IF($E21="P2",IF(Inputs!$B$7="","TBD",Inputs!$B$7),IF($E21="P3",IF(Inputs!$B$8="","TBD",Inputs!$B$8),IF($E21="DEV",IF(Inputs!$B$11="","TBD",Inputs!$B$11),"TBD"))))))</f>
        <v/>
      </c>
      <c r="L21" s="13">
        <f>IF($M21="No",0,IF($M21&lt;&gt;"Yes","TBD",IF(OR(J21="TBD",K21="TBD"),"TBD",J21*K21)))</f>
        <v/>
      </c>
      <c r="M21" s="6" t="inlineStr">
        <is>
          <t>TBD</t>
        </is>
      </c>
      <c r="N21" s="10" t="inlineStr">
        <is>
          <t>[ASSUMPTION] One decision brief using observed pilot evidence. Prior planning inputs archived, inactive: quantity=2; hours/unit='=Inputs!$B$12'. [ASSUMPTION, not measured or approved.] Re-enter reviewed values before setting Yes.</t>
        </is>
      </c>
    </row>
    <row r="22" ht="46" customHeight="1">
      <c r="A22" s="5" t="n">
        <v>3</v>
      </c>
      <c r="B22" s="5" t="inlineStr">
        <is>
          <t>Pilot functionality</t>
        </is>
      </c>
      <c r="C22" s="5" t="inlineStr">
        <is>
          <t>P-P2-01</t>
        </is>
      </c>
      <c r="D22" s="5" t="inlineStr">
        <is>
          <t>Partner</t>
        </is>
      </c>
      <c r="E22" s="5" t="inlineStr">
        <is>
          <t>P2</t>
        </is>
      </c>
      <c r="F22" s="5" t="inlineStr">
        <is>
          <t>Prepare campaign materials and approved survey flow</t>
        </is>
      </c>
      <c r="G22" s="11" t="n"/>
      <c r="H22" s="6" t="inlineStr">
        <is>
          <t>working day</t>
        </is>
      </c>
      <c r="I22" s="12" t="n"/>
      <c r="J22" s="12">
        <f>IF($M22="No",0,IF($M22&lt;&gt;"Yes","TBD",IF(OR(NOT(ISNUMBER(G22)),NOT(ISNUMBER(I22))),"TBD",G22*I22)))</f>
        <v/>
      </c>
      <c r="K22" s="13">
        <f>IF($M22="No",0,IF($M22&lt;&gt;"Yes","TBD",IF($E22="P1",IF(Inputs!$B$6="","TBD",Inputs!$B$6),IF($E22="P2",IF(Inputs!$B$7="","TBD",Inputs!$B$7),IF($E22="P3",IF(Inputs!$B$8="","TBD",Inputs!$B$8),IF($E22="DEV",IF(Inputs!$B$11="","TBD",Inputs!$B$11),"TBD"))))))</f>
        <v/>
      </c>
      <c r="L22" s="13">
        <f>IF($M22="No",0,IF($M22&lt;&gt;"Yes","TBD",IF(OR(J22="TBD",K22="TBD"),"TBD",J22*K22)))</f>
        <v/>
      </c>
      <c r="M22" s="6" t="inlineStr">
        <is>
          <t>TBD</t>
        </is>
      </c>
      <c r="N22" s="10" t="inlineStr">
        <is>
          <t>[ASSUMPTION] Only after purpose, notice, channel, consent and data handling are approved. Prior planning inputs archived, inactive: quantity=3; hours/unit='=Inputs!$B$12'. [ASSUMPTION, not measured or approved.] Re-enter reviewed values before setting Yes.</t>
        </is>
      </c>
    </row>
    <row r="23" ht="46" customHeight="1">
      <c r="A23" s="5" t="n">
        <v>3</v>
      </c>
      <c r="B23" s="5" t="inlineStr">
        <is>
          <t>Pilot functionality</t>
        </is>
      </c>
      <c r="C23" s="5" t="inlineStr">
        <is>
          <t>P-P2-02</t>
        </is>
      </c>
      <c r="D23" s="5" t="inlineStr">
        <is>
          <t>Partner</t>
        </is>
      </c>
      <c r="E23" s="5" t="inlineStr">
        <is>
          <t>P2</t>
        </is>
      </c>
      <c r="F23" s="5" t="inlineStr">
        <is>
          <t>Operate pilot outreach and response coordination</t>
        </is>
      </c>
      <c r="G23" s="11" t="n"/>
      <c r="H23" s="6" t="inlineStr">
        <is>
          <t>working day</t>
        </is>
      </c>
      <c r="I23" s="12" t="n"/>
      <c r="J23" s="12">
        <f>IF($M23="No",0,IF($M23&lt;&gt;"Yes","TBD",IF(OR(NOT(ISNUMBER(G23)),NOT(ISNUMBER(I23))),"TBD",G23*I23)))</f>
        <v/>
      </c>
      <c r="K23" s="13">
        <f>IF($M23="No",0,IF($M23&lt;&gt;"Yes","TBD",IF($E23="P1",IF(Inputs!$B$6="","TBD",Inputs!$B$6),IF($E23="P2",IF(Inputs!$B$7="","TBD",Inputs!$B$7),IF($E23="P3",IF(Inputs!$B$8="","TBD",Inputs!$B$8),IF($E23="DEV",IF(Inputs!$B$11="","TBD",Inputs!$B$11),"TBD"))))))</f>
        <v/>
      </c>
      <c r="L23" s="13">
        <f>IF($M23="No",0,IF($M23&lt;&gt;"Yes","TBD",IF(OR(J23="TBD",K23="TBD"),"TBD",J23*K23)))</f>
        <v/>
      </c>
      <c r="M23" s="6" t="inlineStr">
        <is>
          <t>TBD</t>
        </is>
      </c>
      <c r="N23" s="10" t="inlineStr">
        <is>
          <t>[ASSUMPTION] Bounded campaign operations; volume and timing require review. Prior planning inputs archived, inactive: quantity=5; hours/unit='=Inputs!$B$12'. [ASSUMPTION, not measured or approved.] Re-enter reviewed values before setting Yes.</t>
        </is>
      </c>
    </row>
    <row r="24" ht="46" customHeight="1">
      <c r="A24" s="5" t="n">
        <v>3</v>
      </c>
      <c r="B24" s="5" t="inlineStr">
        <is>
          <t>Pilot functionality</t>
        </is>
      </c>
      <c r="C24" s="5" t="inlineStr">
        <is>
          <t>P-P2-03</t>
        </is>
      </c>
      <c r="D24" s="5" t="inlineStr">
        <is>
          <t>Partner</t>
        </is>
      </c>
      <c r="E24" s="5" t="inlineStr">
        <is>
          <t>P2</t>
        </is>
      </c>
      <c r="F24" s="5" t="inlineStr">
        <is>
          <t>Coordinate pilot discussion or event activity</t>
        </is>
      </c>
      <c r="G24" s="11" t="n"/>
      <c r="H24" s="6" t="inlineStr">
        <is>
          <t>working day</t>
        </is>
      </c>
      <c r="I24" s="12" t="n"/>
      <c r="J24" s="12">
        <f>IF($M24="No",0,IF($M24&lt;&gt;"Yes","TBD",IF(OR(NOT(ISNUMBER(G24)),NOT(ISNUMBER(I24))),"TBD",G24*I24)))</f>
        <v/>
      </c>
      <c r="K24" s="13">
        <f>IF($M24="No",0,IF($M24&lt;&gt;"Yes","TBD",IF($E24="P1",IF(Inputs!$B$6="","TBD",Inputs!$B$6),IF($E24="P2",IF(Inputs!$B$7="","TBD",Inputs!$B$7),IF($E24="P3",IF(Inputs!$B$8="","TBD",Inputs!$B$8),IF($E24="DEV",IF(Inputs!$B$11="","TBD",Inputs!$B$11),"TBD"))))))</f>
        <v/>
      </c>
      <c r="L24" s="13">
        <f>IF($M24="No",0,IF($M24&lt;&gt;"Yes","TBD",IF(OR(J24="TBD",K24="TBD"),"TBD",J24*K24)))</f>
        <v/>
      </c>
      <c r="M24" s="6" t="inlineStr">
        <is>
          <t>TBD</t>
        </is>
      </c>
      <c r="N24" s="10" t="inlineStr">
        <is>
          <t>[ASSUMPTION] One bounded activity, including preparation and follow-up. Prior planning inputs archived, inactive: quantity=4; hours/unit='=Inputs!$B$12'. [ASSUMPTION, not measured or approved.] Re-enter reviewed values before setting Yes.</t>
        </is>
      </c>
    </row>
    <row r="25" ht="46" customHeight="1">
      <c r="A25" s="5" t="n">
        <v>3</v>
      </c>
      <c r="B25" s="5" t="inlineStr">
        <is>
          <t>Pilot functionality</t>
        </is>
      </c>
      <c r="C25" s="5" t="inlineStr">
        <is>
          <t>P-P2-04</t>
        </is>
      </c>
      <c r="D25" s="5" t="inlineStr">
        <is>
          <t>Partner</t>
        </is>
      </c>
      <c r="E25" s="5" t="inlineStr">
        <is>
          <t>P2</t>
        </is>
      </c>
      <c r="F25" s="5" t="inlineStr">
        <is>
          <t>Synthesize survey and campaign responses</t>
        </is>
      </c>
      <c r="G25" s="11" t="n"/>
      <c r="H25" s="6" t="inlineStr">
        <is>
          <t>working day</t>
        </is>
      </c>
      <c r="I25" s="12" t="n"/>
      <c r="J25" s="12">
        <f>IF($M25="No",0,IF($M25&lt;&gt;"Yes","TBD",IF(OR(NOT(ISNUMBER(G25)),NOT(ISNUMBER(I25))),"TBD",G25*I25)))</f>
        <v/>
      </c>
      <c r="K25" s="13">
        <f>IF($M25="No",0,IF($M25&lt;&gt;"Yes","TBD",IF($E25="P1",IF(Inputs!$B$6="","TBD",Inputs!$B$6),IF($E25="P2",IF(Inputs!$B$7="","TBD",Inputs!$B$7),IF($E25="P3",IF(Inputs!$B$8="","TBD",Inputs!$B$8),IF($E25="DEV",IF(Inputs!$B$11="","TBD",Inputs!$B$11),"TBD"))))))</f>
        <v/>
      </c>
      <c r="L25" s="13">
        <f>IF($M25="No",0,IF($M25&lt;&gt;"Yes","TBD",IF(OR(J25="TBD",K25="TBD"),"TBD",J25*K25)))</f>
        <v/>
      </c>
      <c r="M25" s="6" t="inlineStr">
        <is>
          <t>TBD</t>
        </is>
      </c>
      <c r="N25" s="10" t="inlineStr">
        <is>
          <t>[ASSUMPTION] Response volume and report depth may change effort. Prior planning inputs archived, inactive: quantity=3; hours/unit='=Inputs!$B$12'. [ASSUMPTION, not measured or approved.] Re-enter reviewed values before setting Yes.</t>
        </is>
      </c>
    </row>
    <row r="26" ht="46" customHeight="1">
      <c r="A26" s="5" t="n">
        <v>3</v>
      </c>
      <c r="B26" s="5" t="inlineStr">
        <is>
          <t>Pilot functionality</t>
        </is>
      </c>
      <c r="C26" s="5" t="inlineStr">
        <is>
          <t>P-P2-05</t>
        </is>
      </c>
      <c r="D26" s="5" t="inlineStr">
        <is>
          <t>Partner</t>
        </is>
      </c>
      <c r="E26" s="6" t="n"/>
      <c r="F26" s="5" t="inlineStr">
        <is>
          <t>Measured dossier activities (excluded until sample and role allocation)</t>
        </is>
      </c>
      <c r="G26" s="12" t="n"/>
      <c r="H26" s="22" t="inlineStr">
        <is>
          <t>scope marker (not record count)</t>
        </is>
      </c>
      <c r="I26" s="12" t="n"/>
      <c r="J26" s="12">
        <f>IF($M26="No",0,IF($M26&lt;&gt;"Yes","TBD",IF(OR(NOT(ISNUMBER(G26)),NOT(ISNUMBER(I26))),"TBD",G26*I26)))</f>
        <v/>
      </c>
      <c r="K26" s="13">
        <f>IF($M26="No",0,IF($M26&lt;&gt;"Yes","TBD",IF($E26="P1",IF(Inputs!$B$6="","TBD",Inputs!$B$6),IF($E26="P2",IF(Inputs!$B$7="","TBD",Inputs!$B$7),IF($E26="P3",IF(Inputs!$B$8="","TBD",Inputs!$B$8),IF($E26="DEV",IF(Inputs!$B$11="","TBD",Inputs!$B$11),"TBD"))))))</f>
        <v/>
      </c>
      <c r="L26" s="13">
        <f>IF($M26="No",0,IF($M26&lt;&gt;"Yes","TBD",IF(OR(J26="TBD",K26="TBD"),"TBD",J26*K26)))</f>
        <v/>
      </c>
      <c r="M26" s="6" t="inlineStr">
        <is>
          <t>TBD</t>
        </is>
      </c>
      <c r="N26" s="10" t="inlineStr">
        <is>
          <t>[MEASUREMENT REQUIRED] Partner decision input §5 prohibits assumed minutes or pricing the 300–500 capacity scenario before a permitted sample is timed. Record observed time by activity/role in Dossier Measurement. This sample log does not estimate the full pilot workload. Add priced work only after scope, role, measured basis and any extrapolation method are explicitly reviewed; never scale sample hours by 400 automatically. Prior planning inputs archived, inactive: quantity=1; hours/unit=None. [ASSUMPTION, not measured or approved.] Re-enter reviewed values before setting Yes.</t>
        </is>
      </c>
    </row>
    <row r="27" ht="46" customHeight="1">
      <c r="A27" s="5" t="n">
        <v>3</v>
      </c>
      <c r="B27" s="5" t="inlineStr">
        <is>
          <t>Pilot functionality</t>
        </is>
      </c>
      <c r="C27" s="5" t="inlineStr">
        <is>
          <t>P-P3-01</t>
        </is>
      </c>
      <c r="D27" s="5" t="inlineStr">
        <is>
          <t>Partner</t>
        </is>
      </c>
      <c r="E27" s="5" t="inlineStr">
        <is>
          <t>P3</t>
        </is>
      </c>
      <c r="F27" s="5" t="inlineStr">
        <is>
          <t>Coordinate pilot product backlog, delivery decisions and acceptance</t>
        </is>
      </c>
      <c r="G27" s="11" t="n"/>
      <c r="H27" s="6" t="inlineStr">
        <is>
          <t>working day</t>
        </is>
      </c>
      <c r="I27" s="12" t="n"/>
      <c r="J27" s="12">
        <f>IF($M27="No",0,IF($M27&lt;&gt;"Yes","TBD",IF(OR(NOT(ISNUMBER(G27)),NOT(ISNUMBER(I27))),"TBD",G27*I27)))</f>
        <v/>
      </c>
      <c r="K27" s="13">
        <f>IF($M27="No",0,IF($M27&lt;&gt;"Yes","TBD",IF($E27="P1",IF(Inputs!$B$6="","TBD",Inputs!$B$6),IF($E27="P2",IF(Inputs!$B$7="","TBD",Inputs!$B$7),IF($E27="P3",IF(Inputs!$B$8="","TBD",Inputs!$B$8),IF($E27="DEV",IF(Inputs!$B$11="","TBD",Inputs!$B$11),"TBD"))))))</f>
        <v/>
      </c>
      <c r="L27" s="13">
        <f>IF($M27="No",0,IF($M27&lt;&gt;"Yes","TBD",IF(OR(J27="TBD",K27="TBD"),"TBD",J27*K27)))</f>
        <v/>
      </c>
      <c r="M27" s="6" t="inlineStr">
        <is>
          <t>TBD</t>
        </is>
      </c>
      <c r="N27" s="10" t="inlineStr">
        <is>
          <t>[ASSUMPTION] Product ownership across bounded pilot. Prior planning inputs archived, inactive: quantity=4; hours/unit='=Inputs!$B$12'. [ASSUMPTION, not measured or approved.] Re-enter reviewed values before setting Yes.</t>
        </is>
      </c>
    </row>
    <row r="28" ht="46" customHeight="1">
      <c r="A28" s="5" t="n">
        <v>3</v>
      </c>
      <c r="B28" s="5" t="inlineStr">
        <is>
          <t>Pilot functionality</t>
        </is>
      </c>
      <c r="C28" s="5" t="inlineStr">
        <is>
          <t>P-DEV-01</t>
        </is>
      </c>
      <c r="D28" s="5" t="inlineStr">
        <is>
          <t>Software</t>
        </is>
      </c>
      <c r="E28" s="5" t="inlineStr">
        <is>
          <t>DEV</t>
        </is>
      </c>
      <c r="F28" s="5" t="inlineStr">
        <is>
          <t>Implement invitation, permission, response and participant-status workflow</t>
        </is>
      </c>
      <c r="G28" s="11" t="n"/>
      <c r="H28" s="6" t="inlineStr">
        <is>
          <t>contractor day</t>
        </is>
      </c>
      <c r="I28" s="12" t="n"/>
      <c r="J28" s="12">
        <f>IF($M28="No",0,IF($M28&lt;&gt;"Yes","TBD",IF(OR(NOT(ISNUMBER(G28)),NOT(ISNUMBER(I28))),"TBD",G28*I28)))</f>
        <v/>
      </c>
      <c r="K28" s="13">
        <f>IF($M28="No",0,IF($M28&lt;&gt;"Yes","TBD",IF($E28="P1",IF(Inputs!$B$6="","TBD",Inputs!$B$6),IF($E28="P2",IF(Inputs!$B$7="","TBD",Inputs!$B$7),IF($E28="P3",IF(Inputs!$B$8="","TBD",Inputs!$B$8),IF($E28="DEV",IF(Inputs!$B$11="","TBD",Inputs!$B$11),"TBD"))))))</f>
        <v/>
      </c>
      <c r="L28" s="13">
        <f>IF($M28="No",0,IF($M28&lt;&gt;"Yes","TBD",IF(OR(J28="TBD",K28="TBD"),"TBD",J28*K28)))</f>
        <v/>
      </c>
      <c r="M28" s="6" t="inlineStr">
        <is>
          <t>TBD</t>
        </is>
      </c>
      <c r="N28" s="10" t="inlineStr">
        <is>
          <t>[ASSUMPTION] One approved outreach channel and participant-status flow. Prior planning inputs archived, inactive: quantity=5; hours/unit='=Inputs!$B$10'. [ASSUMPTION, not measured or approved.] Re-enter reviewed values before setting Yes.</t>
        </is>
      </c>
    </row>
    <row r="29" ht="46" customHeight="1">
      <c r="A29" s="5" t="n">
        <v>4</v>
      </c>
      <c r="B29" s="5" t="inlineStr">
        <is>
          <t>Other / post-pilot functionality</t>
        </is>
      </c>
      <c r="C29" s="5" t="inlineStr">
        <is>
          <t>F-DEV-PAY-01</t>
        </is>
      </c>
      <c r="D29" s="5" t="inlineStr">
        <is>
          <t>Software</t>
        </is>
      </c>
      <c r="E29" s="5" t="inlineStr">
        <is>
          <t>DEV</t>
        </is>
      </c>
      <c r="F29" s="5" t="inlineStr">
        <is>
          <t>Optional post-pilot payment integration; not required for the one-client pilot.</t>
        </is>
      </c>
      <c r="G29" s="11" t="n"/>
      <c r="H29" s="6" t="inlineStr">
        <is>
          <t>contractor day</t>
        </is>
      </c>
      <c r="I29" s="12" t="n"/>
      <c r="J29" s="12">
        <f>IF($M29="No",0,IF($M29&lt;&gt;"Yes","TBD",IF(OR(NOT(ISNUMBER(G29)),NOT(ISNUMBER(I29))),"TBD",G29*I29)))</f>
        <v/>
      </c>
      <c r="K29" s="13">
        <f>IF($M29="No",0,IF($M29&lt;&gt;"Yes","TBD",IF($E29="P1",IF(Inputs!$B$6="","TBD",Inputs!$B$6),IF($E29="P2",IF(Inputs!$B$7="","TBD",Inputs!$B$7),IF($E29="P3",IF(Inputs!$B$8="","TBD",Inputs!$B$8),IF($E29="DEV",IF(Inputs!$B$11="","TBD",Inputs!$B$11),"TBD"))))))</f>
        <v/>
      </c>
      <c r="L29" s="13">
        <f>IF($M29="No",0,IF($M29&lt;&gt;"Yes","TBD",IF(OR(J29="TBD",K29="TBD"),"TBD",J29*K29)))</f>
        <v/>
      </c>
      <c r="M29" s="6" t="inlineStr">
        <is>
          <t>TBD</t>
        </is>
      </c>
      <c r="N29" s="10" t="inlineStr">
        <is>
          <t>[RECLASSIFIED from historical P-DEV-02 pilot row; inactive until separately scoped and approved.] [ASSUMPTION] One membership type and provider; fees, legal/tax work and onboarding excluded. Prior planning inputs archived, inactive: quantity=8; hours/unit='=Inputs!$B$10'. [ASSUMPTION, not measured or approved.] Re-enter reviewed values before setting Yes.</t>
        </is>
      </c>
    </row>
    <row r="30" ht="46" customHeight="1">
      <c r="A30" s="5" t="n">
        <v>3</v>
      </c>
      <c r="B30" s="5" t="inlineStr">
        <is>
          <t>Pilot functionality</t>
        </is>
      </c>
      <c r="C30" s="5" t="inlineStr">
        <is>
          <t>P-DEV-03</t>
        </is>
      </c>
      <c r="D30" s="5" t="inlineStr">
        <is>
          <t>Software</t>
        </is>
      </c>
      <c r="E30" s="5" t="inlineStr">
        <is>
          <t>DEV</t>
        </is>
      </c>
      <c r="F30" s="5" t="inlineStr">
        <is>
          <t>Implement pilot event/activity participation status</t>
        </is>
      </c>
      <c r="G30" s="11" t="n"/>
      <c r="H30" s="6" t="inlineStr">
        <is>
          <t>contractor day</t>
        </is>
      </c>
      <c r="I30" s="12" t="n"/>
      <c r="J30" s="12">
        <f>IF($M30="No",0,IF($M30&lt;&gt;"Yes","TBD",IF(OR(NOT(ISNUMBER(G30)),NOT(ISNUMBER(I30))),"TBD",G30*I30)))</f>
        <v/>
      </c>
      <c r="K30" s="13">
        <f>IF($M30="No",0,IF($M30&lt;&gt;"Yes","TBD",IF($E30="P1",IF(Inputs!$B$6="","TBD",Inputs!$B$6),IF($E30="P2",IF(Inputs!$B$7="","TBD",Inputs!$B$7),IF($E30="P3",IF(Inputs!$B$8="","TBD",Inputs!$B$8),IF($E30="DEV",IF(Inputs!$B$11="","TBD",Inputs!$B$11),"TBD"))))))</f>
        <v/>
      </c>
      <c r="L30" s="13">
        <f>IF($M30="No",0,IF($M30&lt;&gt;"Yes","TBD",IF(OR(J30="TBD",K30="TBD"),"TBD",J30*K30)))</f>
        <v/>
      </c>
      <c r="M30" s="6" t="inlineStr">
        <is>
          <t>TBD</t>
        </is>
      </c>
      <c r="N30" s="10" t="inlineStr">
        <is>
          <t>[ASSUMPTION] Bounded activity and attendance status. Prior planning inputs archived, inactive: quantity=4; hours/unit='=Inputs!$B$10'. [ASSUMPTION, not measured or approved.] Re-enter reviewed values before setting Yes.</t>
        </is>
      </c>
    </row>
    <row r="31" ht="46" customHeight="1">
      <c r="A31" s="5" t="n">
        <v>3</v>
      </c>
      <c r="B31" s="5" t="inlineStr">
        <is>
          <t>Pilot functionality</t>
        </is>
      </c>
      <c r="C31" s="5" t="inlineStr">
        <is>
          <t>P-DEV-04</t>
        </is>
      </c>
      <c r="D31" s="5" t="inlineStr">
        <is>
          <t>Software</t>
        </is>
      </c>
      <c r="E31" s="5" t="inlineStr">
        <is>
          <t>DEV</t>
        </is>
      </c>
      <c r="F31" s="5" t="inlineStr">
        <is>
          <t>Implement pilot measures and outcome view</t>
        </is>
      </c>
      <c r="G31" s="11" t="n"/>
      <c r="H31" s="6" t="inlineStr">
        <is>
          <t>contractor day</t>
        </is>
      </c>
      <c r="I31" s="12" t="n"/>
      <c r="J31" s="12">
        <f>IF($M31="No",0,IF($M31&lt;&gt;"Yes","TBD",IF(OR(NOT(ISNUMBER(G31)),NOT(ISNUMBER(I31))),"TBD",G31*I31)))</f>
        <v/>
      </c>
      <c r="K31" s="13">
        <f>IF($M31="No",0,IF($M31&lt;&gt;"Yes","TBD",IF($E31="P1",IF(Inputs!$B$6="","TBD",Inputs!$B$6),IF($E31="P2",IF(Inputs!$B$7="","TBD",Inputs!$B$7),IF($E31="P3",IF(Inputs!$B$8="","TBD",Inputs!$B$8),IF($E31="DEV",IF(Inputs!$B$11="","TBD",Inputs!$B$11),"TBD"))))))</f>
        <v/>
      </c>
      <c r="L31" s="13">
        <f>IF($M31="No",0,IF($M31&lt;&gt;"Yes","TBD",IF(OR(J31="TBD",K31="TBD"),"TBD",J31*K31)))</f>
        <v/>
      </c>
      <c r="M31" s="6" t="inlineStr">
        <is>
          <t>TBD</t>
        </is>
      </c>
      <c r="N31" s="10" t="inlineStr">
        <is>
          <t>[ASSUMPTION] Agreed definitions and bounded dashboard; no causal impact assumed. Prior planning inputs archived, inactive: quantity=4; hours/unit='=Inputs!$B$10'. [ASSUMPTION, not measured or approved.] Re-enter reviewed values before setting Yes.</t>
        </is>
      </c>
    </row>
    <row r="32" ht="46" customHeight="1">
      <c r="A32" s="5" t="n">
        <v>3</v>
      </c>
      <c r="B32" s="5" t="inlineStr">
        <is>
          <t>Pilot functionality</t>
        </is>
      </c>
      <c r="C32" s="5" t="inlineStr">
        <is>
          <t>P-DEV-05</t>
        </is>
      </c>
      <c r="D32" s="5" t="inlineStr">
        <is>
          <t>Software</t>
        </is>
      </c>
      <c r="E32" s="5" t="inlineStr">
        <is>
          <t>DEV</t>
        </is>
      </c>
      <c r="F32" s="5" t="inlineStr">
        <is>
          <t>Test, security check and handover for pilot additions</t>
        </is>
      </c>
      <c r="G32" s="11" t="n"/>
      <c r="H32" s="6" t="inlineStr">
        <is>
          <t>contractor day</t>
        </is>
      </c>
      <c r="I32" s="12" t="n"/>
      <c r="J32" s="12">
        <f>IF($M32="No",0,IF($M32&lt;&gt;"Yes","TBD",IF(OR(NOT(ISNUMBER(G32)),NOT(ISNUMBER(I32))),"TBD",G32*I32)))</f>
        <v/>
      </c>
      <c r="K32" s="13">
        <f>IF($M32="No",0,IF($M32&lt;&gt;"Yes","TBD",IF($E32="P1",IF(Inputs!$B$6="","TBD",Inputs!$B$6),IF($E32="P2",IF(Inputs!$B$7="","TBD",Inputs!$B$7),IF($E32="P3",IF(Inputs!$B$8="","TBD",Inputs!$B$8),IF($E32="DEV",IF(Inputs!$B$11="","TBD",Inputs!$B$11),"TBD"))))))</f>
        <v/>
      </c>
      <c r="L32" s="13">
        <f>IF($M32="No",0,IF($M32&lt;&gt;"Yes","TBD",IF(OR(J32="TBD",K32="TBD"),"TBD",J32*K32)))</f>
        <v/>
      </c>
      <c r="M32" s="6" t="inlineStr">
        <is>
          <t>TBD</t>
        </is>
      </c>
      <c r="N32" s="10" t="inlineStr">
        <is>
          <t>[ASSUMPTION] Incremental checks and handover; not production security certification. Prior planning inputs archived, inactive: quantity=3; hours/unit='=Inputs!$B$10'. [ASSUMPTION, not measured or approved.] Re-enter reviewed values before setting Yes.</t>
        </is>
      </c>
    </row>
    <row r="33" ht="46" customHeight="1">
      <c r="A33" s="5" t="n">
        <v>4</v>
      </c>
      <c r="B33" s="5" t="inlineStr">
        <is>
          <t>All remaining functionality</t>
        </is>
      </c>
      <c r="C33" s="5" t="inlineStr">
        <is>
          <t>F-P1-01</t>
        </is>
      </c>
      <c r="D33" s="5" t="inlineStr">
        <is>
          <t>Partner</t>
        </is>
      </c>
      <c r="E33" s="5" t="inlineStr">
        <is>
          <t>P1</t>
        </is>
      </c>
      <c r="F33" s="5" t="inlineStr">
        <is>
          <t>Coordinate future client/service opportunities and commercial decisions</t>
        </is>
      </c>
      <c r="G33" s="11" t="n"/>
      <c r="H33" s="6" t="inlineStr">
        <is>
          <t>working day</t>
        </is>
      </c>
      <c r="I33" s="12" t="n"/>
      <c r="J33" s="12">
        <f>IF($M33="No",0,IF($M33&lt;&gt;"Yes","TBD",IF(OR(NOT(ISNUMBER(G33)),NOT(ISNUMBER(I33))),"TBD",G33*I33)))</f>
        <v/>
      </c>
      <c r="K33" s="13">
        <f>IF($M33="No",0,IF($M33&lt;&gt;"Yes","TBD",IF($E33="P1",IF(Inputs!$B$6="","TBD",Inputs!$B$6),IF($E33="P2",IF(Inputs!$B$7="","TBD",Inputs!$B$7),IF($E33="P3",IF(Inputs!$B$8="","TBD",Inputs!$B$8),IF($E33="DEV",IF(Inputs!$B$11="","TBD",Inputs!$B$11),"TBD"))))))</f>
        <v/>
      </c>
      <c r="L33" s="13">
        <f>IF($M33="No",0,IF($M33&lt;&gt;"Yes","TBD",IF(OR(J33="TBD",K33="TBD"),"TBD",J33*K33)))</f>
        <v/>
      </c>
      <c r="M33" s="6" t="inlineStr">
        <is>
          <t>TBD</t>
        </is>
      </c>
      <c r="N33" s="10" t="inlineStr">
        <is>
          <t>[ASSUMPTION] Next-scope decisions; no revenue forecast. Prior planning inputs archived, inactive: quantity=2; hours/unit='=Inputs!$B$12'. [ASSUMPTION, not measured or approved.] Re-enter reviewed values before setting Yes.</t>
        </is>
      </c>
    </row>
    <row r="34" ht="46" customHeight="1">
      <c r="A34" s="5" t="n">
        <v>4</v>
      </c>
      <c r="B34" s="5" t="inlineStr">
        <is>
          <t>All remaining functionality</t>
        </is>
      </c>
      <c r="C34" s="5" t="inlineStr">
        <is>
          <t>F-P2-01</t>
        </is>
      </c>
      <c r="D34" s="5" t="inlineStr">
        <is>
          <t>Partner</t>
        </is>
      </c>
      <c r="E34" s="5" t="inlineStr">
        <is>
          <t>P2</t>
        </is>
      </c>
      <c r="F34" s="5" t="inlineStr">
        <is>
          <t>Define operating procedures for expanded network services</t>
        </is>
      </c>
      <c r="G34" s="11" t="n"/>
      <c r="H34" s="6" t="inlineStr">
        <is>
          <t>working day</t>
        </is>
      </c>
      <c r="I34" s="12" t="n"/>
      <c r="J34" s="12">
        <f>IF($M34="No",0,IF($M34&lt;&gt;"Yes","TBD",IF(OR(NOT(ISNUMBER(G34)),NOT(ISNUMBER(I34))),"TBD",G34*I34)))</f>
        <v/>
      </c>
      <c r="K34" s="13">
        <f>IF($M34="No",0,IF($M34&lt;&gt;"Yes","TBD",IF($E34="P1",IF(Inputs!$B$6="","TBD",Inputs!$B$6),IF($E34="P2",IF(Inputs!$B$7="","TBD",Inputs!$B$7),IF($E34="P3",IF(Inputs!$B$8="","TBD",Inputs!$B$8),IF($E34="DEV",IF(Inputs!$B$11="","TBD",Inputs!$B$11),"TBD"))))))</f>
        <v/>
      </c>
      <c r="L34" s="13">
        <f>IF($M34="No",0,IF($M34&lt;&gt;"Yes","TBD",IF(OR(J34="TBD",K34="TBD"),"TBD",J34*K34)))</f>
        <v/>
      </c>
      <c r="M34" s="6" t="inlineStr">
        <is>
          <t>TBD</t>
        </is>
      </c>
      <c r="N34" s="10" t="inlineStr">
        <is>
          <t>[ASSUMPTION] Service, event and communications procedures after pilot evidence. Prior planning inputs archived, inactive: quantity=5; hours/unit='=Inputs!$B$12'. [ASSUMPTION, not measured or approved.] Re-enter reviewed values before setting Yes.</t>
        </is>
      </c>
    </row>
    <row r="35" ht="46" customHeight="1">
      <c r="A35" s="5" t="n">
        <v>4</v>
      </c>
      <c r="B35" s="5" t="inlineStr">
        <is>
          <t>All remaining functionality</t>
        </is>
      </c>
      <c r="C35" s="5" t="inlineStr">
        <is>
          <t>F-P3-01</t>
        </is>
      </c>
      <c r="D35" s="5" t="inlineStr">
        <is>
          <t>Partner</t>
        </is>
      </c>
      <c r="E35" s="5" t="inlineStr">
        <is>
          <t>P3</t>
        </is>
      </c>
      <c r="F35" s="5" t="inlineStr">
        <is>
          <t>Prioritize full-function roadmap and coordinate delivery partners</t>
        </is>
      </c>
      <c r="G35" s="11" t="n"/>
      <c r="H35" s="6" t="inlineStr">
        <is>
          <t>working day</t>
        </is>
      </c>
      <c r="I35" s="12" t="n"/>
      <c r="J35" s="12">
        <f>IF($M35="No",0,IF($M35&lt;&gt;"Yes","TBD",IF(OR(NOT(ISNUMBER(G35)),NOT(ISNUMBER(I35))),"TBD",G35*I35)))</f>
        <v/>
      </c>
      <c r="K35" s="13">
        <f>IF($M35="No",0,IF($M35&lt;&gt;"Yes","TBD",IF($E35="P1",IF(Inputs!$B$6="","TBD",Inputs!$B$6),IF($E35="P2",IF(Inputs!$B$7="","TBD",Inputs!$B$7),IF($E35="P3",IF(Inputs!$B$8="","TBD",Inputs!$B$8),IF($E35="DEV",IF(Inputs!$B$11="","TBD",Inputs!$B$11),"TBD"))))))</f>
        <v/>
      </c>
      <c r="L35" s="13">
        <f>IF($M35="No",0,IF($M35&lt;&gt;"Yes","TBD",IF(OR(J35="TBD",K35="TBD"),"TBD",J35*K35)))</f>
        <v/>
      </c>
      <c r="M35" s="6" t="inlineStr">
        <is>
          <t>TBD</t>
        </is>
      </c>
      <c r="N35" s="10" t="inlineStr">
        <is>
          <t>[ASSUMPTION] Dependency-aware roadmap and partner coordination. Prior planning inputs archived, inactive: quantity=8; hours/unit='=Inputs!$B$12'. [ASSUMPTION, not measured or approved.] Re-enter reviewed values before setting Yes.</t>
        </is>
      </c>
    </row>
    <row r="36" ht="46" customHeight="1">
      <c r="A36" s="5" t="n">
        <v>4</v>
      </c>
      <c r="B36" s="5" t="inlineStr">
        <is>
          <t>All remaining functionality</t>
        </is>
      </c>
      <c r="C36" s="5" t="inlineStr">
        <is>
          <t>F-DEV-01</t>
        </is>
      </c>
      <c r="D36" s="5" t="inlineStr">
        <is>
          <t>Software</t>
        </is>
      </c>
      <c r="E36" s="5" t="inlineStr">
        <is>
          <t>DEV</t>
        </is>
      </c>
      <c r="F36" s="5" t="inlineStr">
        <is>
          <t>Build expanded member service workflows</t>
        </is>
      </c>
      <c r="G36" s="11" t="n"/>
      <c r="H36" s="6" t="inlineStr">
        <is>
          <t>contractor day</t>
        </is>
      </c>
      <c r="I36" s="12" t="n"/>
      <c r="J36" s="12">
        <f>IF($M36="No",0,IF($M36&lt;&gt;"Yes","TBD",IF(OR(NOT(ISNUMBER(G36)),NOT(ISNUMBER(I36))),"TBD",G36*I36)))</f>
        <v/>
      </c>
      <c r="K36" s="13">
        <f>IF($M36="No",0,IF($M36&lt;&gt;"Yes","TBD",IF($E36="P1",IF(Inputs!$B$6="","TBD",Inputs!$B$6),IF($E36="P2",IF(Inputs!$B$7="","TBD",Inputs!$B$7),IF($E36="P3",IF(Inputs!$B$8="","TBD",Inputs!$B$8),IF($E36="DEV",IF(Inputs!$B$11="","TBD",Inputs!$B$11),"TBD"))))))</f>
        <v/>
      </c>
      <c r="L36" s="13">
        <f>IF($M36="No",0,IF($M36&lt;&gt;"Yes","TBD",IF(OR(J36="TBD",K36="TBD"),"TBD",J36*K36)))</f>
        <v/>
      </c>
      <c r="M36" s="6" t="inlineStr">
        <is>
          <t>TBD</t>
        </is>
      </c>
      <c r="N36" s="10" t="inlineStr">
        <is>
          <t>[ASSUMPTION] Initial bounded member-services release. Prior planning inputs archived, inactive: quantity=12; hours/unit='=Inputs!$B$10'. [ASSUMPTION, not measured or approved.] Re-enter reviewed values before setting Yes.</t>
        </is>
      </c>
    </row>
    <row r="37" ht="46" customHeight="1">
      <c r="A37" s="5" t="n">
        <v>4</v>
      </c>
      <c r="B37" s="5" t="inlineStr">
        <is>
          <t>All remaining functionality</t>
        </is>
      </c>
      <c r="C37" s="5" t="inlineStr">
        <is>
          <t>F-DEV-02</t>
        </is>
      </c>
      <c r="D37" s="5" t="inlineStr">
        <is>
          <t>Software</t>
        </is>
      </c>
      <c r="E37" s="5" t="inlineStr">
        <is>
          <t>DEV</t>
        </is>
      </c>
      <c r="F37" s="5" t="inlineStr">
        <is>
          <t>Build permissioned knowledge repository and reuse workflow</t>
        </is>
      </c>
      <c r="G37" s="11" t="n"/>
      <c r="H37" s="6" t="inlineStr">
        <is>
          <t>contractor day</t>
        </is>
      </c>
      <c r="I37" s="12" t="n"/>
      <c r="J37" s="12">
        <f>IF($M37="No",0,IF($M37&lt;&gt;"Yes","TBD",IF(OR(NOT(ISNUMBER(G37)),NOT(ISNUMBER(I37))),"TBD",G37*I37)))</f>
        <v/>
      </c>
      <c r="K37" s="13">
        <f>IF($M37="No",0,IF($M37&lt;&gt;"Yes","TBD",IF($E37="P1",IF(Inputs!$B$6="","TBD",Inputs!$B$6),IF($E37="P2",IF(Inputs!$B$7="","TBD",Inputs!$B$7),IF($E37="P3",IF(Inputs!$B$8="","TBD",Inputs!$B$8),IF($E37="DEV",IF(Inputs!$B$11="","TBD",Inputs!$B$11),"TBD"))))))</f>
        <v/>
      </c>
      <c r="L37" s="13">
        <f>IF($M37="No",0,IF($M37&lt;&gt;"Yes","TBD",IF(OR(J37="TBD",K37="TBD"),"TBD",J37*K37)))</f>
        <v/>
      </c>
      <c r="M37" s="6" t="inlineStr">
        <is>
          <t>TBD</t>
        </is>
      </c>
      <c r="N37" s="10" t="inlineStr">
        <is>
          <t>[ASSUMPTION] One permissioned knowledge workflow; migration/licensing excluded. Prior planning inputs archived, inactive: quantity=10; hours/unit='=Inputs!$B$10'. [ASSUMPTION, not measured or approved.] Re-enter reviewed values before setting Yes.</t>
        </is>
      </c>
    </row>
    <row r="38" ht="46" customHeight="1">
      <c r="A38" s="5" t="n">
        <v>4</v>
      </c>
      <c r="B38" s="5" t="inlineStr">
        <is>
          <t>All remaining functionality</t>
        </is>
      </c>
      <c r="C38" s="5" t="inlineStr">
        <is>
          <t>F-DEV-03</t>
        </is>
      </c>
      <c r="D38" s="5" t="inlineStr">
        <is>
          <t>Software</t>
        </is>
      </c>
      <c r="E38" s="5" t="inlineStr">
        <is>
          <t>DEV</t>
        </is>
      </c>
      <c r="F38" s="5" t="inlineStr">
        <is>
          <t>Build network intelligence and targeted alert functions</t>
        </is>
      </c>
      <c r="G38" s="11" t="n"/>
      <c r="H38" s="6" t="inlineStr">
        <is>
          <t>contractor day</t>
        </is>
      </c>
      <c r="I38" s="12" t="n"/>
      <c r="J38" s="12">
        <f>IF($M38="No",0,IF($M38&lt;&gt;"Yes","TBD",IF(OR(NOT(ISNUMBER(G38)),NOT(ISNUMBER(I38))),"TBD",G38*I38)))</f>
        <v/>
      </c>
      <c r="K38" s="13">
        <f>IF($M38="No",0,IF($M38&lt;&gt;"Yes","TBD",IF($E38="P1",IF(Inputs!$B$6="","TBD",Inputs!$B$6),IF($E38="P2",IF(Inputs!$B$7="","TBD",Inputs!$B$7),IF($E38="P3",IF(Inputs!$B$8="","TBD",Inputs!$B$8),IF($E38="DEV",IF(Inputs!$B$11="","TBD",Inputs!$B$11),"TBD"))))))</f>
        <v/>
      </c>
      <c r="L38" s="13">
        <f>IF($M38="No",0,IF($M38&lt;&gt;"Yes","TBD",IF(OR(J38="TBD",K38="TBD"),"TBD",J38*K38)))</f>
        <v/>
      </c>
      <c r="M38" s="6" t="inlineStr">
        <is>
          <t>TBD</t>
        </is>
      </c>
      <c r="N38" s="10" t="inlineStr">
        <is>
          <t>[ASSUMPTION] Bounded feed/alert functions; third-party data/message fees excluded. Prior planning inputs archived, inactive: quantity=10; hours/unit='=Inputs!$B$10'. [ASSUMPTION, not measured or approved.] Re-enter reviewed values before setting Yes.</t>
        </is>
      </c>
    </row>
    <row r="39" ht="46" customHeight="1">
      <c r="A39" s="5" t="n">
        <v>4</v>
      </c>
      <c r="B39" s="5" t="inlineStr">
        <is>
          <t>All remaining functionality</t>
        </is>
      </c>
      <c r="C39" s="5" t="inlineStr">
        <is>
          <t>F-DEV-04</t>
        </is>
      </c>
      <c r="D39" s="5" t="inlineStr">
        <is>
          <t>Software</t>
        </is>
      </c>
      <c r="E39" s="5" t="inlineStr">
        <is>
          <t>DEV</t>
        </is>
      </c>
      <c r="F39" s="5" t="inlineStr">
        <is>
          <t>Build agreed additional integrations and reporting</t>
        </is>
      </c>
      <c r="G39" s="11" t="n"/>
      <c r="H39" s="6" t="inlineStr">
        <is>
          <t>contractor day</t>
        </is>
      </c>
      <c r="I39" s="12" t="n"/>
      <c r="J39" s="12">
        <f>IF($M39="No",0,IF($M39&lt;&gt;"Yes","TBD",IF(OR(NOT(ISNUMBER(G39)),NOT(ISNUMBER(I39))),"TBD",G39*I39)))</f>
        <v/>
      </c>
      <c r="K39" s="13">
        <f>IF($M39="No",0,IF($M39&lt;&gt;"Yes","TBD",IF($E39="P1",IF(Inputs!$B$6="","TBD",Inputs!$B$6),IF($E39="P2",IF(Inputs!$B$7="","TBD",Inputs!$B$7),IF($E39="P3",IF(Inputs!$B$8="","TBD",Inputs!$B$8),IF($E39="DEV",IF(Inputs!$B$11="","TBD",Inputs!$B$11),"TBD"))))))</f>
        <v/>
      </c>
      <c r="L39" s="13">
        <f>IF($M39="No",0,IF($M39&lt;&gt;"Yes","TBD",IF(OR(J39="TBD",K39="TBD"),"TBD",J39*K39)))</f>
        <v/>
      </c>
      <c r="M39" s="6" t="inlineStr">
        <is>
          <t>TBD</t>
        </is>
      </c>
      <c r="N39" s="10" t="inlineStr">
        <is>
          <t>[ASSUMPTION] Limited integration/reporting; endpoints and provider fees need confirmation. Prior planning inputs archived, inactive: quantity=8; hours/unit='=Inputs!$B$10'. [ASSUMPTION, not measured or approved.] Re-enter reviewed values before setting Yes.</t>
        </is>
      </c>
    </row>
    <row r="40" ht="46" customHeight="1">
      <c r="A40" s="5" t="n">
        <v>4</v>
      </c>
      <c r="B40" s="5" t="inlineStr">
        <is>
          <t>All remaining functionality</t>
        </is>
      </c>
      <c r="C40" s="5" t="inlineStr">
        <is>
          <t>F-DEV-05</t>
        </is>
      </c>
      <c r="D40" s="5" t="inlineStr">
        <is>
          <t>Software</t>
        </is>
      </c>
      <c r="E40" s="5" t="inlineStr">
        <is>
          <t>DEV</t>
        </is>
      </c>
      <c r="F40" s="5" t="inlineStr">
        <is>
          <t>Hardening, accessibility checks and full-scope operations handover</t>
        </is>
      </c>
      <c r="G40" s="11" t="n"/>
      <c r="H40" s="6" t="inlineStr">
        <is>
          <t>contractor day</t>
        </is>
      </c>
      <c r="I40" s="12" t="n"/>
      <c r="J40" s="12">
        <f>IF($M40="No",0,IF($M40&lt;&gt;"Yes","TBD",IF(OR(NOT(ISNUMBER(G40)),NOT(ISNUMBER(I40))),"TBD",G40*I40)))</f>
        <v/>
      </c>
      <c r="K40" s="13">
        <f>IF($M40="No",0,IF($M40&lt;&gt;"Yes","TBD",IF($E40="P1",IF(Inputs!$B$6="","TBD",Inputs!$B$6),IF($E40="P2",IF(Inputs!$B$7="","TBD",Inputs!$B$7),IF($E40="P3",IF(Inputs!$B$8="","TBD",Inputs!$B$8),IF($E40="DEV",IF(Inputs!$B$11="","TBD",Inputs!$B$11),"TBD"))))))</f>
        <v/>
      </c>
      <c r="L40" s="13">
        <f>IF($M40="No",0,IF($M40&lt;&gt;"Yes","TBD",IF(OR(J40="TBD",K40="TBD"),"TBD",J40*K40)))</f>
        <v/>
      </c>
      <c r="M40" s="6" t="inlineStr">
        <is>
          <t>TBD</t>
        </is>
      </c>
      <c r="N40" s="10" t="inlineStr">
        <is>
          <t>[ASSUMPTION] Release hardening/handover; ongoing support and external certification excluded. Prior planning inputs archived, inactive: quantity=10; hours/unit='=Inputs!$B$10'. [ASSUMPTION, not measured or approved.] Re-enter reviewed values before setting Yes.</t>
        </is>
      </c>
    </row>
  </sheetData>
  <autoFilter ref="A4:N40"/>
  <mergeCells count="2">
    <mergeCell ref="A2:N2"/>
    <mergeCell ref="A1:N1"/>
  </mergeCells>
  <dataValidations count="2">
    <dataValidation sqref="M5:M40" showDropDown="0" showInputMessage="0" showErrorMessage="0" allowBlank="0" type="list">
      <formula1>"Yes,No,TBD"</formula1>
    </dataValidation>
    <dataValidation sqref="E5:E40" showDropDown="0" showInputMessage="0" showErrorMessage="0" allowBlank="1" type="list">
      <formula1>"P1,P2,P3,DEV"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53" customWidth="1" min="3" max="3"/>
    <col width="18" customWidth="1" min="4" max="4"/>
    <col width="20" customWidth="1" min="5" max="5"/>
    <col width="21" customWidth="1" min="6" max="6"/>
    <col width="43" customWidth="1" min="7" max="7"/>
    <col width="74" customWidth="1" min="8" max="8"/>
    <col width="37" customWidth="1" min="9" max="9"/>
    <col width="19" customWidth="1" min="10" max="10"/>
    <col width="21" customWidth="1" min="11" max="11"/>
    <col width="20" customWidth="1" min="12" max="12"/>
    <col width="20" customWidth="1" min="13" max="13"/>
    <col width="20" customWidth="1" min="14" max="14"/>
    <col width="62" customWidth="1" min="15" max="15"/>
    <col width="53" customWidth="1" min="16" max="16"/>
  </cols>
  <sheetData>
    <row r="1">
      <c r="A1" s="1" t="inlineStr">
        <is>
          <t>Four commercial scopes · itemized cost model (not pricing tiers)</t>
        </is>
      </c>
    </row>
    <row r="2" ht="34" customHeight="1">
      <c r="A2" s="2" t="inlineStr">
        <is>
          <t>Each row is an independent incremental scope, not a cumulative offer or low/base/high tier. Select and combine scopes only after written agreement. The graph/search replacement-value line is conditional in Scope 2; it is not an automatic fee.</t>
        </is>
      </c>
    </row>
    <row r="4" ht="36" customHeight="1">
      <c r="A4" s="4" t="inlineStr">
        <is>
          <t>Scope ID</t>
        </is>
      </c>
      <c r="B4" s="4" t="inlineStr">
        <is>
          <t>Commercial scope</t>
        </is>
      </c>
      <c r="C4" s="4" t="inlineStr">
        <is>
          <t>Partner hours in scope</t>
        </is>
      </c>
      <c r="D4" s="4" t="inlineStr">
        <is>
          <t>Software hours in scope</t>
        </is>
      </c>
      <c r="E4" s="4" t="inlineStr">
        <is>
          <t>P1 fee (GBP)</t>
        </is>
      </c>
      <c r="F4" s="4" t="inlineStr">
        <is>
          <t>P2 fee (GBP)</t>
        </is>
      </c>
      <c r="G4" s="4" t="inlineStr">
        <is>
          <t>P3 fee (GBP)</t>
        </is>
      </c>
      <c r="H4" s="4" t="inlineStr">
        <is>
          <t>Software cost (GBP)</t>
        </is>
      </c>
      <c r="I4" s="4" t="inlineStr">
        <is>
          <t>Conditional graph/search replacement value (GBP)</t>
        </is>
      </c>
      <c r="J4" s="4" t="inlineStr">
        <is>
          <t>External cost (GBP)</t>
        </is>
      </c>
      <c r="K4" s="4" t="inlineStr">
        <is>
          <t>Scope subtotal (GBP)</t>
        </is>
      </c>
      <c r="L4" s="4" t="inlineStr">
        <is>
          <t>Partner hours through this scope (not price tier)</t>
        </is>
      </c>
      <c r="M4" s="4" t="inlineStr">
        <is>
          <t>Cumulative software hours</t>
        </is>
      </c>
      <c r="N4" s="4" t="inlineStr">
        <is>
          <t>Cumulative total (GBP)</t>
        </is>
      </c>
      <c r="O4" s="4" t="inlineStr">
        <is>
          <t>Scope note</t>
        </is>
      </c>
      <c r="P4" s="4" t="inlineStr">
        <is>
          <t>Internal author allocation (from reuse fee; excluded from client total)</t>
        </is>
      </c>
    </row>
    <row r="5" ht="58" customHeight="1">
      <c r="A5" s="14" t="n">
        <v>1</v>
      </c>
      <c r="B5" s="14" t="inlineStr">
        <is>
          <t>Consulting / strategy</t>
        </is>
      </c>
      <c r="C5" s="12">
        <f>IF(OR(COUNTIFS('Work Breakdown'!$A$5:$A$40,$A5,'Work Breakdown'!$D$5:$D$40,"Partner",'Work Breakdown'!$M$5:$M$40,"TBD")&gt;0,COUNTIFS('Work Breakdown'!$A$5:$A$40,$A5,'Work Breakdown'!$D$5:$D$40,"Partner",'Work Breakdown'!$M$5:$M$40,"Yes",'Work Breakdown'!$J$5:$J$40,"TBD")&gt;0),"TBD",SUMIFS('Work Breakdown'!$J$5:$J$40,'Work Breakdown'!$A$5:$A$40,$A5,'Work Breakdown'!$D$5:$D$40,"Partner",'Work Breakdown'!$M$5:$M$40,"Yes"))</f>
        <v/>
      </c>
      <c r="D5" s="12">
        <f>IF(OR(COUNTIFS('Work Breakdown'!$A$5:$A$40,$A5,'Work Breakdown'!$D$5:$D$40,"Software",'Work Breakdown'!$M$5:$M$40,"TBD")&gt;0,COUNTIFS('Work Breakdown'!$A$5:$A$40,$A5,'Work Breakdown'!$D$5:$D$40,"Software",'Work Breakdown'!$M$5:$M$40,"Yes",'Work Breakdown'!$J$5:$J$40,"TBD")&gt;0),"TBD",SUMIFS('Work Breakdown'!$J$5:$J$40,'Work Breakdown'!$A$5:$A$40,$A5,'Work Breakdown'!$D$5:$D$40,"Software",'Work Breakdown'!$M$5:$M$40,"Yes"))</f>
        <v/>
      </c>
      <c r="E5" s="15">
        <f>IF(OR(COUNTIFS('Work Breakdown'!$A$5:$A$40,$A5,'Work Breakdown'!$D$5:$D$40,"Partner",'Work Breakdown'!$E$5:$E$40,"P1",'Work Breakdown'!$M$5:$M$40,"TBD")&gt;0,COUNTIFS('Work Breakdown'!$A$5:$A$40,$A5,'Work Breakdown'!$D$5:$D$40,"Partner",'Work Breakdown'!$E$5:$E$40,"P1",'Work Breakdown'!$M$5:$M$40,"Yes",'Work Breakdown'!$L$5:$L$40,"TBD")&gt;0),"TBD",SUMIFS('Work Breakdown'!$L$5:$L$40,'Work Breakdown'!$A$5:$A$40,$A5,'Work Breakdown'!$D$5:$D$40,"Partner",'Work Breakdown'!$E$5:$E$40,"P1",'Work Breakdown'!$M$5:$M$40,"Yes"))</f>
        <v/>
      </c>
      <c r="F5" s="15">
        <f>IF(OR(COUNTIFS('Work Breakdown'!$A$5:$A$40,$A5,'Work Breakdown'!$D$5:$D$40,"Partner",'Work Breakdown'!$E$5:$E$40,"P2",'Work Breakdown'!$M$5:$M$40,"TBD")&gt;0,COUNTIFS('Work Breakdown'!$A$5:$A$40,$A5,'Work Breakdown'!$D$5:$D$40,"Partner",'Work Breakdown'!$E$5:$E$40,"P2",'Work Breakdown'!$M$5:$M$40,"Yes",'Work Breakdown'!$L$5:$L$40,"TBD")&gt;0),"TBD",SUMIFS('Work Breakdown'!$L$5:$L$40,'Work Breakdown'!$A$5:$A$40,$A5,'Work Breakdown'!$D$5:$D$40,"Partner",'Work Breakdown'!$E$5:$E$40,"P2",'Work Breakdown'!$M$5:$M$40,"Yes"))</f>
        <v/>
      </c>
      <c r="G5" s="15">
        <f>IF(OR(COUNTIFS('Work Breakdown'!$A$5:$A$40,$A5,'Work Breakdown'!$D$5:$D$40,"Partner",'Work Breakdown'!$E$5:$E$40,"P3",'Work Breakdown'!$M$5:$M$40,"TBD")&gt;0,COUNTIFS('Work Breakdown'!$A$5:$A$40,$A5,'Work Breakdown'!$D$5:$D$40,"Partner",'Work Breakdown'!$E$5:$E$40,"P3",'Work Breakdown'!$M$5:$M$40,"Yes",'Work Breakdown'!$L$5:$L$40,"TBD")&gt;0),"TBD",SUMIFS('Work Breakdown'!$L$5:$L$40,'Work Breakdown'!$A$5:$A$40,$A5,'Work Breakdown'!$D$5:$D$40,"Partner",'Work Breakdown'!$E$5:$E$40,"P3",'Work Breakdown'!$M$5:$M$40,"Yes"))</f>
        <v/>
      </c>
      <c r="H5" s="15">
        <f>IF(OR(COUNTIFS('Work Breakdown'!$A$5:$A$40,$A5,'Work Breakdown'!$D$5:$D$40,"Software",'Work Breakdown'!$E$5:$E$40,"DEV",'Work Breakdown'!$M$5:$M$40,"TBD")&gt;0,COUNTIFS('Work Breakdown'!$A$5:$A$40,$A5,'Work Breakdown'!$D$5:$D$40,"Software",'Work Breakdown'!$E$5:$E$40,"DEV",'Work Breakdown'!$M$5:$M$40,"Yes",'Work Breakdown'!$L$5:$L$40,"TBD")&gt;0),"TBD",SUMIFS('Work Breakdown'!$L$5:$L$40,'Work Breakdown'!$A$5:$A$40,$A5,'Work Breakdown'!$D$5:$D$40,"Software",'Work Breakdown'!$E$5:$E$40,"DEV",'Work Breakdown'!$M$5:$M$40,"Yes"))</f>
        <v/>
      </c>
      <c r="I5" s="15">
        <f>IF($A5&lt;&gt;2,0,IF(Inputs!$B$32="Include",IF(Inputs!$B$30="","TBD",Inputs!$B$30),IF(Inputs!$B$32="Excluded",0,"TBD")))</f>
        <v/>
      </c>
      <c r="J5" s="15">
        <f>IF($A5&lt;&gt;4,0,IF(Inputs!$B$20="Include",IF(Inputs!$B$19="","TBD",Inputs!$B$19),IF(Inputs!$B$20="Excluded",0,"TBD")))</f>
        <v/>
      </c>
      <c r="K5" s="15">
        <f>IF(COUNTIF(E5:J5,"TBD")&gt;0,"TBD",SUM(E5:J5))</f>
        <v/>
      </c>
      <c r="L5" s="12">
        <f>IF(OR(COUNTIFS('Work Breakdown'!$A$5:$A$40,"&lt;="&amp;$A5,'Work Breakdown'!$D$5:$D$40,"Partner",'Work Breakdown'!$M$5:$M$40,"TBD")&gt;0,COUNTIFS('Work Breakdown'!$A$5:$A$40,"&lt;="&amp;$A5,'Work Breakdown'!$D$5:$D$40,"Partner",'Work Breakdown'!$M$5:$M$40,"Yes",'Work Breakdown'!$J$5:$J$40,"TBD")&gt;0),"TBD",SUMIFS('Work Breakdown'!$J$5:$J$40,'Work Breakdown'!$A$5:$A$40,"&lt;="&amp;$A5,'Work Breakdown'!$D$5:$D$40,"Partner",'Work Breakdown'!$M$5:$M$40,"Yes"))</f>
        <v/>
      </c>
      <c r="M5" s="12">
        <f>SUMIFS('Work Breakdown'!$J$5:$J$40,'Work Breakdown'!$A$5:$A$40,"&lt;="&amp;A5,'Work Breakdown'!$D$5:$D$40,"Software",'Work Breakdown'!$M$5:$M$40,"Yes")</f>
        <v/>
      </c>
      <c r="N5" s="15">
        <f>SUM($K$5:K5)</f>
        <v/>
      </c>
      <c r="O5" s="14" t="inlineStr">
        <is>
          <t>Consulting only; preparation, facilitation/synthesis and first protocol draft.</t>
        </is>
      </c>
      <c r="P5" s="15">
        <f>IF(AND(A5=2,Inputs!$B$18="Include"),Inputs!$B$17,0)</f>
        <v/>
      </c>
    </row>
    <row r="6" ht="58" customHeight="1">
      <c r="A6" s="14" t="n">
        <v>2</v>
      </c>
      <c r="B6" s="14" t="inlineStr">
        <is>
          <t>Application MVP</t>
        </is>
      </c>
      <c r="C6" s="12">
        <f>IF(OR(COUNTIFS('Work Breakdown'!$A$5:$A$40,$A6,'Work Breakdown'!$D$5:$D$40,"Partner",'Work Breakdown'!$M$5:$M$40,"TBD")&gt;0,COUNTIFS('Work Breakdown'!$A$5:$A$40,$A6,'Work Breakdown'!$D$5:$D$40,"Partner",'Work Breakdown'!$M$5:$M$40,"Yes",'Work Breakdown'!$J$5:$J$40,"TBD")&gt;0),"TBD",SUMIFS('Work Breakdown'!$J$5:$J$40,'Work Breakdown'!$A$5:$A$40,$A6,'Work Breakdown'!$D$5:$D$40,"Partner",'Work Breakdown'!$M$5:$M$40,"Yes"))</f>
        <v/>
      </c>
      <c r="D6" s="12">
        <f>IF(OR(COUNTIFS('Work Breakdown'!$A$5:$A$40,$A6,'Work Breakdown'!$D$5:$D$40,"Software",'Work Breakdown'!$M$5:$M$40,"TBD")&gt;0,COUNTIFS('Work Breakdown'!$A$5:$A$40,$A6,'Work Breakdown'!$D$5:$D$40,"Software",'Work Breakdown'!$M$5:$M$40,"Yes",'Work Breakdown'!$J$5:$J$40,"TBD")&gt;0),"TBD",SUMIFS('Work Breakdown'!$J$5:$J$40,'Work Breakdown'!$A$5:$A$40,$A6,'Work Breakdown'!$D$5:$D$40,"Software",'Work Breakdown'!$M$5:$M$40,"Yes"))</f>
        <v/>
      </c>
      <c r="E6" s="15">
        <f>IF(OR(COUNTIFS('Work Breakdown'!$A$5:$A$40,$A6,'Work Breakdown'!$D$5:$D$40,"Partner",'Work Breakdown'!$E$5:$E$40,"P1",'Work Breakdown'!$M$5:$M$40,"TBD")&gt;0,COUNTIFS('Work Breakdown'!$A$5:$A$40,$A6,'Work Breakdown'!$D$5:$D$40,"Partner",'Work Breakdown'!$E$5:$E$40,"P1",'Work Breakdown'!$M$5:$M$40,"Yes",'Work Breakdown'!$L$5:$L$40,"TBD")&gt;0),"TBD",SUMIFS('Work Breakdown'!$L$5:$L$40,'Work Breakdown'!$A$5:$A$40,$A6,'Work Breakdown'!$D$5:$D$40,"Partner",'Work Breakdown'!$E$5:$E$40,"P1",'Work Breakdown'!$M$5:$M$40,"Yes"))</f>
        <v/>
      </c>
      <c r="F6" s="15">
        <f>IF(OR(COUNTIFS('Work Breakdown'!$A$5:$A$40,$A6,'Work Breakdown'!$D$5:$D$40,"Partner",'Work Breakdown'!$E$5:$E$40,"P2",'Work Breakdown'!$M$5:$M$40,"TBD")&gt;0,COUNTIFS('Work Breakdown'!$A$5:$A$40,$A6,'Work Breakdown'!$D$5:$D$40,"Partner",'Work Breakdown'!$E$5:$E$40,"P2",'Work Breakdown'!$M$5:$M$40,"Yes",'Work Breakdown'!$L$5:$L$40,"TBD")&gt;0),"TBD",SUMIFS('Work Breakdown'!$L$5:$L$40,'Work Breakdown'!$A$5:$A$40,$A6,'Work Breakdown'!$D$5:$D$40,"Partner",'Work Breakdown'!$E$5:$E$40,"P2",'Work Breakdown'!$M$5:$M$40,"Yes"))</f>
        <v/>
      </c>
      <c r="G6" s="15">
        <f>IF(OR(COUNTIFS('Work Breakdown'!$A$5:$A$40,$A6,'Work Breakdown'!$D$5:$D$40,"Partner",'Work Breakdown'!$E$5:$E$40,"P3",'Work Breakdown'!$M$5:$M$40,"TBD")&gt;0,COUNTIFS('Work Breakdown'!$A$5:$A$40,$A6,'Work Breakdown'!$D$5:$D$40,"Partner",'Work Breakdown'!$E$5:$E$40,"P3",'Work Breakdown'!$M$5:$M$40,"Yes",'Work Breakdown'!$L$5:$L$40,"TBD")&gt;0),"TBD",SUMIFS('Work Breakdown'!$L$5:$L$40,'Work Breakdown'!$A$5:$A$40,$A6,'Work Breakdown'!$D$5:$D$40,"Partner",'Work Breakdown'!$E$5:$E$40,"P3",'Work Breakdown'!$M$5:$M$40,"Yes"))</f>
        <v/>
      </c>
      <c r="H6" s="15">
        <f>IF(OR(COUNTIFS('Work Breakdown'!$A$5:$A$40,$A6,'Work Breakdown'!$D$5:$D$40,"Software",'Work Breakdown'!$E$5:$E$40,"DEV",'Work Breakdown'!$M$5:$M$40,"TBD")&gt;0,COUNTIFS('Work Breakdown'!$A$5:$A$40,$A6,'Work Breakdown'!$D$5:$D$40,"Software",'Work Breakdown'!$E$5:$E$40,"DEV",'Work Breakdown'!$M$5:$M$40,"Yes",'Work Breakdown'!$L$5:$L$40,"TBD")&gt;0),"TBD",SUMIFS('Work Breakdown'!$L$5:$L$40,'Work Breakdown'!$A$5:$A$40,$A6,'Work Breakdown'!$D$5:$D$40,"Software",'Work Breakdown'!$E$5:$E$40,"DEV",'Work Breakdown'!$M$5:$M$40,"Yes"))</f>
        <v/>
      </c>
      <c r="I6" s="15">
        <f>IF($A6&lt;&gt;2,0,IF(Inputs!$B$32="Include",IF(Inputs!$B$30="","TBD",Inputs!$B$30),IF(Inputs!$B$32="Excluded",0,"TBD")))</f>
        <v/>
      </c>
      <c r="J6" s="15">
        <f>IF($A6&lt;&gt;4,0,IF(Inputs!$B$20="Include",IF(Inputs!$B$19="","TBD",Inputs!$B$19),IF(Inputs!$B$20="Excluded",0,"TBD")))</f>
        <v/>
      </c>
      <c r="K6" s="15">
        <f>IF(COUNTIF(E6:J6,"TBD")&gt;0,"TBD",SUM(E6:J6))</f>
        <v/>
      </c>
      <c r="L6" s="12">
        <f>IF(OR(COUNTIFS('Work Breakdown'!$A$5:$A$40,"&lt;="&amp;$A6,'Work Breakdown'!$D$5:$D$40,"Partner",'Work Breakdown'!$M$5:$M$40,"TBD")&gt;0,COUNTIFS('Work Breakdown'!$A$5:$A$40,"&lt;="&amp;$A6,'Work Breakdown'!$D$5:$D$40,"Partner",'Work Breakdown'!$M$5:$M$40,"Yes",'Work Breakdown'!$J$5:$J$40,"TBD")&gt;0),"TBD",SUMIFS('Work Breakdown'!$J$5:$J$40,'Work Breakdown'!$A$5:$A$40,"&lt;="&amp;$A6,'Work Breakdown'!$D$5:$D$40,"Partner",'Work Breakdown'!$M$5:$M$40,"Yes"))</f>
        <v/>
      </c>
      <c r="M6" s="12">
        <f>SUMIFS('Work Breakdown'!$J$5:$J$40,'Work Breakdown'!$A$5:$A$40,"&lt;="&amp;A6,'Work Breakdown'!$D$5:$D$40,"Software",'Work Breakdown'!$M$5:$M$40,"Yes")</f>
        <v/>
      </c>
      <c r="N6" s="15">
        <f>SUM($K$5:K6)</f>
        <v/>
      </c>
      <c r="O6" s="14" t="inlineStr">
        <is>
          <t>Adds proposed residual MVP software and partner workflow work to Circle 1.</t>
        </is>
      </c>
      <c r="P6" s="15">
        <f>IF(AND(A6=2,Inputs!$B$18="Include"),Inputs!$B$17,0)</f>
        <v/>
      </c>
    </row>
    <row r="7" ht="58" customHeight="1">
      <c r="A7" s="14" t="n">
        <v>3</v>
      </c>
      <c r="B7" s="14" t="inlineStr">
        <is>
          <t>Bounded one-client pilot functionality</t>
        </is>
      </c>
      <c r="C7" s="12">
        <f>IF(OR(COUNTIFS('Work Breakdown'!$A$5:$A$40,$A7,'Work Breakdown'!$D$5:$D$40,"Partner",'Work Breakdown'!$M$5:$M$40,"TBD")&gt;0,COUNTIFS('Work Breakdown'!$A$5:$A$40,$A7,'Work Breakdown'!$D$5:$D$40,"Partner",'Work Breakdown'!$M$5:$M$40,"Yes",'Work Breakdown'!$J$5:$J$40,"TBD")&gt;0),"TBD",SUMIFS('Work Breakdown'!$J$5:$J$40,'Work Breakdown'!$A$5:$A$40,$A7,'Work Breakdown'!$D$5:$D$40,"Partner",'Work Breakdown'!$M$5:$M$40,"Yes"))</f>
        <v/>
      </c>
      <c r="D7" s="12">
        <f>IF(OR(COUNTIFS('Work Breakdown'!$A$5:$A$40,$A7,'Work Breakdown'!$D$5:$D$40,"Software",'Work Breakdown'!$M$5:$M$40,"TBD")&gt;0,COUNTIFS('Work Breakdown'!$A$5:$A$40,$A7,'Work Breakdown'!$D$5:$D$40,"Software",'Work Breakdown'!$M$5:$M$40,"Yes",'Work Breakdown'!$J$5:$J$40,"TBD")&gt;0),"TBD",SUMIFS('Work Breakdown'!$J$5:$J$40,'Work Breakdown'!$A$5:$A$40,$A7,'Work Breakdown'!$D$5:$D$40,"Software",'Work Breakdown'!$M$5:$M$40,"Yes"))</f>
        <v/>
      </c>
      <c r="E7" s="15">
        <f>IF(OR(COUNTIFS('Work Breakdown'!$A$5:$A$40,$A7,'Work Breakdown'!$D$5:$D$40,"Partner",'Work Breakdown'!$E$5:$E$40,"P1",'Work Breakdown'!$M$5:$M$40,"TBD")&gt;0,COUNTIFS('Work Breakdown'!$A$5:$A$40,$A7,'Work Breakdown'!$D$5:$D$40,"Partner",'Work Breakdown'!$E$5:$E$40,"P1",'Work Breakdown'!$M$5:$M$40,"Yes",'Work Breakdown'!$L$5:$L$40,"TBD")&gt;0),"TBD",SUMIFS('Work Breakdown'!$L$5:$L$40,'Work Breakdown'!$A$5:$A$40,$A7,'Work Breakdown'!$D$5:$D$40,"Partner",'Work Breakdown'!$E$5:$E$40,"P1",'Work Breakdown'!$M$5:$M$40,"Yes"))</f>
        <v/>
      </c>
      <c r="F7" s="15">
        <f>IF(OR(COUNTIFS('Work Breakdown'!$A$5:$A$40,$A7,'Work Breakdown'!$D$5:$D$40,"Partner",'Work Breakdown'!$E$5:$E$40,"P2",'Work Breakdown'!$M$5:$M$40,"TBD")&gt;0,COUNTIFS('Work Breakdown'!$A$5:$A$40,$A7,'Work Breakdown'!$D$5:$D$40,"Partner",'Work Breakdown'!$E$5:$E$40,"P2",'Work Breakdown'!$M$5:$M$40,"Yes",'Work Breakdown'!$L$5:$L$40,"TBD")&gt;0),"TBD",SUMIFS('Work Breakdown'!$L$5:$L$40,'Work Breakdown'!$A$5:$A$40,$A7,'Work Breakdown'!$D$5:$D$40,"Partner",'Work Breakdown'!$E$5:$E$40,"P2",'Work Breakdown'!$M$5:$M$40,"Yes"))</f>
        <v/>
      </c>
      <c r="G7" s="15">
        <f>IF(OR(COUNTIFS('Work Breakdown'!$A$5:$A$40,$A7,'Work Breakdown'!$D$5:$D$40,"Partner",'Work Breakdown'!$E$5:$E$40,"P3",'Work Breakdown'!$M$5:$M$40,"TBD")&gt;0,COUNTIFS('Work Breakdown'!$A$5:$A$40,$A7,'Work Breakdown'!$D$5:$D$40,"Partner",'Work Breakdown'!$E$5:$E$40,"P3",'Work Breakdown'!$M$5:$M$40,"Yes",'Work Breakdown'!$L$5:$L$40,"TBD")&gt;0),"TBD",SUMIFS('Work Breakdown'!$L$5:$L$40,'Work Breakdown'!$A$5:$A$40,$A7,'Work Breakdown'!$D$5:$D$40,"Partner",'Work Breakdown'!$E$5:$E$40,"P3",'Work Breakdown'!$M$5:$M$40,"Yes"))</f>
        <v/>
      </c>
      <c r="H7" s="15">
        <f>IF(OR(COUNTIFS('Work Breakdown'!$A$5:$A$40,$A7,'Work Breakdown'!$D$5:$D$40,"Software",'Work Breakdown'!$E$5:$E$40,"DEV",'Work Breakdown'!$M$5:$M$40,"TBD")&gt;0,COUNTIFS('Work Breakdown'!$A$5:$A$40,$A7,'Work Breakdown'!$D$5:$D$40,"Software",'Work Breakdown'!$E$5:$E$40,"DEV",'Work Breakdown'!$M$5:$M$40,"Yes",'Work Breakdown'!$L$5:$L$40,"TBD")&gt;0),"TBD",SUMIFS('Work Breakdown'!$L$5:$L$40,'Work Breakdown'!$A$5:$A$40,$A7,'Work Breakdown'!$D$5:$D$40,"Software",'Work Breakdown'!$E$5:$E$40,"DEV",'Work Breakdown'!$M$5:$M$40,"Yes"))</f>
        <v/>
      </c>
      <c r="I7" s="15">
        <f>IF($A7&lt;&gt;2,0,IF(Inputs!$B$32="Include",IF(Inputs!$B$30="","TBD",Inputs!$B$30),IF(Inputs!$B$32="Excluded",0,"TBD")))</f>
        <v/>
      </c>
      <c r="J7" s="15">
        <f>IF($A7&lt;&gt;4,0,IF(Inputs!$B$20="Include",IF(Inputs!$B$19="","TBD",Inputs!$B$19),IF(Inputs!$B$20="Excluded",0,"TBD")))</f>
        <v/>
      </c>
      <c r="K7" s="15">
        <f>IF(COUNTIF(E7:J7,"TBD")&gt;0,"TBD",SUM(E7:J7))</f>
        <v/>
      </c>
      <c r="L7" s="12">
        <f>IF(OR(COUNTIFS('Work Breakdown'!$A$5:$A$40,"&lt;="&amp;$A7,'Work Breakdown'!$D$5:$D$40,"Partner",'Work Breakdown'!$M$5:$M$40,"TBD")&gt;0,COUNTIFS('Work Breakdown'!$A$5:$A$40,"&lt;="&amp;$A7,'Work Breakdown'!$D$5:$D$40,"Partner",'Work Breakdown'!$M$5:$M$40,"Yes",'Work Breakdown'!$J$5:$J$40,"TBD")&gt;0),"TBD",SUMIFS('Work Breakdown'!$J$5:$J$40,'Work Breakdown'!$A$5:$A$40,"&lt;="&amp;$A7,'Work Breakdown'!$D$5:$D$40,"Partner",'Work Breakdown'!$M$5:$M$40,"Yes"))</f>
        <v/>
      </c>
      <c r="M7" s="12">
        <f>SUMIFS('Work Breakdown'!$J$5:$J$40,'Work Breakdown'!$A$5:$A$40,"&lt;="&amp;A7,'Work Breakdown'!$D$5:$D$40,"Software",'Work Breakdown'!$M$5:$M$40,"Yes")</f>
        <v/>
      </c>
      <c r="N7" s="15">
        <f>SUM($K$5:K7)</f>
        <v/>
      </c>
      <c r="O7" s="14" t="inlineStr">
        <is>
          <t>Adds pilot outreach, participation and pilot measures. Paid membership/payment processing is excluded and remains a separately scoped post-pilot option. Dossier review capacity is not priced until a permitted sample is measured.</t>
        </is>
      </c>
      <c r="P7" s="15">
        <f>IF(AND(A7=2,Inputs!$B$18="Include"),Inputs!$B$17,0)</f>
        <v/>
      </c>
    </row>
    <row r="8" ht="58" customHeight="1">
      <c r="A8" s="14" t="n">
        <v>4</v>
      </c>
      <c r="B8" s="14" t="inlineStr">
        <is>
          <t>Other / post-pilot functionality</t>
        </is>
      </c>
      <c r="C8" s="12">
        <f>IF(OR(COUNTIFS('Work Breakdown'!$A$5:$A$40,$A8,'Work Breakdown'!$D$5:$D$40,"Partner",'Work Breakdown'!$M$5:$M$40,"TBD")&gt;0,COUNTIFS('Work Breakdown'!$A$5:$A$40,$A8,'Work Breakdown'!$D$5:$D$40,"Partner",'Work Breakdown'!$M$5:$M$40,"Yes",'Work Breakdown'!$J$5:$J$40,"TBD")&gt;0),"TBD",SUMIFS('Work Breakdown'!$J$5:$J$40,'Work Breakdown'!$A$5:$A$40,$A8,'Work Breakdown'!$D$5:$D$40,"Partner",'Work Breakdown'!$M$5:$M$40,"Yes"))</f>
        <v/>
      </c>
      <c r="D8" s="12">
        <f>IF(OR(COUNTIFS('Work Breakdown'!$A$5:$A$40,$A8,'Work Breakdown'!$D$5:$D$40,"Software",'Work Breakdown'!$M$5:$M$40,"TBD")&gt;0,COUNTIFS('Work Breakdown'!$A$5:$A$40,$A8,'Work Breakdown'!$D$5:$D$40,"Software",'Work Breakdown'!$M$5:$M$40,"Yes",'Work Breakdown'!$J$5:$J$40,"TBD")&gt;0),"TBD",SUMIFS('Work Breakdown'!$J$5:$J$40,'Work Breakdown'!$A$5:$A$40,$A8,'Work Breakdown'!$D$5:$D$40,"Software",'Work Breakdown'!$M$5:$M$40,"Yes"))</f>
        <v/>
      </c>
      <c r="E8" s="15">
        <f>IF(OR(COUNTIFS('Work Breakdown'!$A$5:$A$40,$A8,'Work Breakdown'!$D$5:$D$40,"Partner",'Work Breakdown'!$E$5:$E$40,"P1",'Work Breakdown'!$M$5:$M$40,"TBD")&gt;0,COUNTIFS('Work Breakdown'!$A$5:$A$40,$A8,'Work Breakdown'!$D$5:$D$40,"Partner",'Work Breakdown'!$E$5:$E$40,"P1",'Work Breakdown'!$M$5:$M$40,"Yes",'Work Breakdown'!$L$5:$L$40,"TBD")&gt;0),"TBD",SUMIFS('Work Breakdown'!$L$5:$L$40,'Work Breakdown'!$A$5:$A$40,$A8,'Work Breakdown'!$D$5:$D$40,"Partner",'Work Breakdown'!$E$5:$E$40,"P1",'Work Breakdown'!$M$5:$M$40,"Yes"))</f>
        <v/>
      </c>
      <c r="F8" s="15">
        <f>IF(OR(COUNTIFS('Work Breakdown'!$A$5:$A$40,$A8,'Work Breakdown'!$D$5:$D$40,"Partner",'Work Breakdown'!$E$5:$E$40,"P2",'Work Breakdown'!$M$5:$M$40,"TBD")&gt;0,COUNTIFS('Work Breakdown'!$A$5:$A$40,$A8,'Work Breakdown'!$D$5:$D$40,"Partner",'Work Breakdown'!$E$5:$E$40,"P2",'Work Breakdown'!$M$5:$M$40,"Yes",'Work Breakdown'!$L$5:$L$40,"TBD")&gt;0),"TBD",SUMIFS('Work Breakdown'!$L$5:$L$40,'Work Breakdown'!$A$5:$A$40,$A8,'Work Breakdown'!$D$5:$D$40,"Partner",'Work Breakdown'!$E$5:$E$40,"P2",'Work Breakdown'!$M$5:$M$40,"Yes"))</f>
        <v/>
      </c>
      <c r="G8" s="15">
        <f>IF(OR(COUNTIFS('Work Breakdown'!$A$5:$A$40,$A8,'Work Breakdown'!$D$5:$D$40,"Partner",'Work Breakdown'!$E$5:$E$40,"P3",'Work Breakdown'!$M$5:$M$40,"TBD")&gt;0,COUNTIFS('Work Breakdown'!$A$5:$A$40,$A8,'Work Breakdown'!$D$5:$D$40,"Partner",'Work Breakdown'!$E$5:$E$40,"P3",'Work Breakdown'!$M$5:$M$40,"Yes",'Work Breakdown'!$L$5:$L$40,"TBD")&gt;0),"TBD",SUMIFS('Work Breakdown'!$L$5:$L$40,'Work Breakdown'!$A$5:$A$40,$A8,'Work Breakdown'!$D$5:$D$40,"Partner",'Work Breakdown'!$E$5:$E$40,"P3",'Work Breakdown'!$M$5:$M$40,"Yes"))</f>
        <v/>
      </c>
      <c r="H8" s="15">
        <f>IF(OR(COUNTIFS('Work Breakdown'!$A$5:$A$40,$A8,'Work Breakdown'!$D$5:$D$40,"Software",'Work Breakdown'!$E$5:$E$40,"DEV",'Work Breakdown'!$M$5:$M$40,"TBD")&gt;0,COUNTIFS('Work Breakdown'!$A$5:$A$40,$A8,'Work Breakdown'!$D$5:$D$40,"Software",'Work Breakdown'!$E$5:$E$40,"DEV",'Work Breakdown'!$M$5:$M$40,"Yes",'Work Breakdown'!$L$5:$L$40,"TBD")&gt;0),"TBD",SUMIFS('Work Breakdown'!$L$5:$L$40,'Work Breakdown'!$A$5:$A$40,$A8,'Work Breakdown'!$D$5:$D$40,"Software",'Work Breakdown'!$E$5:$E$40,"DEV",'Work Breakdown'!$M$5:$M$40,"Yes"))</f>
        <v/>
      </c>
      <c r="I8" s="15">
        <f>IF($A8&lt;&gt;2,0,IF(Inputs!$B$32="Include",IF(Inputs!$B$30="","TBD",Inputs!$B$30),IF(Inputs!$B$32="Excluded",0,"TBD")))</f>
        <v/>
      </c>
      <c r="J8" s="15">
        <f>IF($A8&lt;&gt;4,0,IF(Inputs!$B$20="Include",IF(Inputs!$B$19="","TBD",Inputs!$B$19),IF(Inputs!$B$20="Excluded",0,"TBD")))</f>
        <v/>
      </c>
      <c r="K8" s="15">
        <f>IF(COUNTIF(E8:J8,"TBD")&gt;0,"TBD",SUM(E8:J8))</f>
        <v/>
      </c>
      <c r="L8" s="12">
        <f>IF(OR(COUNTIFS('Work Breakdown'!$A$5:$A$40,"&lt;="&amp;$A8,'Work Breakdown'!$D$5:$D$40,"Partner",'Work Breakdown'!$M$5:$M$40,"TBD")&gt;0,COUNTIFS('Work Breakdown'!$A$5:$A$40,"&lt;="&amp;$A8,'Work Breakdown'!$D$5:$D$40,"Partner",'Work Breakdown'!$M$5:$M$40,"Yes",'Work Breakdown'!$J$5:$J$40,"TBD")&gt;0),"TBD",SUMIFS('Work Breakdown'!$J$5:$J$40,'Work Breakdown'!$A$5:$A$40,"&lt;="&amp;$A8,'Work Breakdown'!$D$5:$D$40,"Partner",'Work Breakdown'!$M$5:$M$40,"Yes"))</f>
        <v/>
      </c>
      <c r="M8" s="12">
        <f>SUMIFS('Work Breakdown'!$J$5:$J$40,'Work Breakdown'!$A$5:$A$40,"&lt;="&amp;A8,'Work Breakdown'!$D$5:$D$40,"Software",'Work Breakdown'!$M$5:$M$40,"Yes")</f>
        <v/>
      </c>
      <c r="N8" s="15">
        <f>SUM($K$5:K8)</f>
        <v/>
      </c>
      <c r="O8" s="14" t="inlineStr">
        <is>
          <t>Adds future network/service functions to Circles 1–3; separate future scope.</t>
        </is>
      </c>
      <c r="P8" s="15">
        <f>IF(AND(A8=2,Inputs!$B$18="Include"),Inputs!$B$17,0)</f>
        <v/>
      </c>
    </row>
    <row r="11" ht="38" customHeight="1">
      <c r="A11" s="16" t="inlineStr">
        <is>
          <t>Graph/search replacement-value benchmark is 3/5/7 developer-days × the sourced UK contractor-day median; effort remains [ASSUMPTION]. It is not a measured reuse time, licence valuation, partner fee or approved quote. Include in Scope 2 only after written agreement.</t>
        </is>
      </c>
    </row>
    <row r="14" ht="32" customHeight="1">
      <c r="A14" s="23" t="inlineStr">
        <is>
          <t>Partner work-fee allocation by scope · not a split of client revenue or profit</t>
        </is>
      </c>
    </row>
    <row r="15" ht="38" customHeight="1">
      <c r="A15" s="4" t="inlineStr">
        <is>
          <t>Circle</t>
        </is>
      </c>
      <c r="B15" s="4" t="inlineStr">
        <is>
          <t>Scope</t>
        </is>
      </c>
      <c r="C15" s="4" t="inlineStr">
        <is>
          <t>Partner role</t>
        </is>
      </c>
      <c r="D15" s="4" t="inlineStr">
        <is>
          <t>Approved partner hours</t>
        </is>
      </c>
      <c r="E15" s="4" t="inlineStr">
        <is>
          <t>Agreed partner rate (GBP/hour)</t>
        </is>
      </c>
      <c r="F15" s="4" t="inlineStr">
        <is>
          <t>Calculated partner fee (GBP)</t>
        </is>
      </c>
      <c r="G15" s="4" t="inlineStr">
        <is>
          <t>Share of partner-work fees within this scope</t>
        </is>
      </c>
      <c r="H15" s="4" t="inlineStr">
        <is>
          <t>Basis / status</t>
        </is>
      </c>
    </row>
    <row r="16" ht="39" customHeight="1">
      <c r="A16" s="14" t="n">
        <v>1</v>
      </c>
      <c r="B16" s="14">
        <f>$B$5</f>
        <v/>
      </c>
      <c r="C16" s="14" t="inlineStr">
        <is>
          <t>Client communications &amp; business development</t>
        </is>
      </c>
      <c r="D16" s="12">
        <f>IF(OR(COUNTIFS('Work Breakdown'!$A$5:$A$40,$A16,'Work Breakdown'!$D$5:$D$40,"Partner",'Work Breakdown'!$E$5:$E$40,"P1",'Work Breakdown'!$M$5:$M$40,"TBD")&gt;0,COUNTIFS('Work Breakdown'!$A$5:$A$40,$A16,'Work Breakdown'!$D$5:$D$40,"Partner",'Work Breakdown'!$E$5:$E$40,"P1",'Work Breakdown'!$M$5:$M$40,"Yes",'Work Breakdown'!$J$5:$J$40,"TBD")&gt;0),"TBD",SUMIFS('Work Breakdown'!$J$5:$J$40,'Work Breakdown'!$A$5:$A$40,$A16,'Work Breakdown'!$E$5:$E$40,"P1",'Work Breakdown'!$M$5:$M$40,"Yes"))</f>
        <v/>
      </c>
      <c r="E16" s="13">
        <f>IF(Inputs!$B$6="","TBD",Inputs!$B$6)</f>
        <v/>
      </c>
      <c r="F16" s="13">
        <f>IF(D16="TBD","TBD",IF(D16=0,0,IF(E16="TBD","TBD",D16*E16)))</f>
        <v/>
      </c>
      <c r="G16" s="24">
        <f>IF(COUNTIF($F$16:$F$18,"TBD")&gt;0,"TBD",IF(SUM($F$16:$F$18)=0,"TBD",F16/SUM($F$16:$F$18)))</f>
        <v/>
      </c>
      <c r="H16" s="10" t="inlineStr">
        <is>
          <t>Approved role hours × agreed rate; not a client revenue/profit share. Unknown inputs remain TBD.</t>
        </is>
      </c>
    </row>
    <row r="17" ht="39" customHeight="1">
      <c r="A17" s="14" t="n">
        <v>1</v>
      </c>
      <c r="B17" s="14">
        <f>$B$5</f>
        <v/>
      </c>
      <c r="C17" s="14" t="inlineStr">
        <is>
          <t>Operations, OSINT, events &amp; external communications</t>
        </is>
      </c>
      <c r="D17" s="12">
        <f>IF(OR(COUNTIFS('Work Breakdown'!$A$5:$A$40,$A17,'Work Breakdown'!$D$5:$D$40,"Partner",'Work Breakdown'!$E$5:$E$40,"P2",'Work Breakdown'!$M$5:$M$40,"TBD")&gt;0,COUNTIFS('Work Breakdown'!$A$5:$A$40,$A17,'Work Breakdown'!$D$5:$D$40,"Partner",'Work Breakdown'!$E$5:$E$40,"P2",'Work Breakdown'!$M$5:$M$40,"Yes",'Work Breakdown'!$J$5:$J$40,"TBD")&gt;0),"TBD",SUMIFS('Work Breakdown'!$J$5:$J$40,'Work Breakdown'!$A$5:$A$40,$A17,'Work Breakdown'!$E$5:$E$40,"P2",'Work Breakdown'!$M$5:$M$40,"Yes"))</f>
        <v/>
      </c>
      <c r="E17" s="13">
        <f>IF(Inputs!$B$7="","TBD",Inputs!$B$7)</f>
        <v/>
      </c>
      <c r="F17" s="13">
        <f>IF(D17="TBD","TBD",IF(D17=0,0,IF(E17="TBD","TBD",D17*E17)))</f>
        <v/>
      </c>
      <c r="G17" s="24">
        <f>IF(COUNTIF($F$16:$F$18,"TBD")&gt;0,"TBD",IF(SUM($F$16:$F$18)=0,"TBD",F17/SUM($F$16:$F$18)))</f>
        <v/>
      </c>
      <c r="H17" s="10" t="inlineStr">
        <is>
          <t>Approved role hours × agreed rate; not a client revenue/profit share. Unknown inputs remain TBD.</t>
        </is>
      </c>
    </row>
    <row r="18" ht="39" customHeight="1">
      <c r="A18" s="14" t="n">
        <v>1</v>
      </c>
      <c r="B18" s="14">
        <f>$B$5</f>
        <v/>
      </c>
      <c r="C18" s="14" t="inlineStr">
        <is>
          <t>Product Owner, strategy &amp; developer relationships</t>
        </is>
      </c>
      <c r="D18" s="12">
        <f>IF(OR(COUNTIFS('Work Breakdown'!$A$5:$A$40,$A18,'Work Breakdown'!$D$5:$D$40,"Partner",'Work Breakdown'!$E$5:$E$40,"P3",'Work Breakdown'!$M$5:$M$40,"TBD")&gt;0,COUNTIFS('Work Breakdown'!$A$5:$A$40,$A18,'Work Breakdown'!$D$5:$D$40,"Partner",'Work Breakdown'!$E$5:$E$40,"P3",'Work Breakdown'!$M$5:$M$40,"Yes",'Work Breakdown'!$J$5:$J$40,"TBD")&gt;0),"TBD",SUMIFS('Work Breakdown'!$J$5:$J$40,'Work Breakdown'!$A$5:$A$40,$A18,'Work Breakdown'!$E$5:$E$40,"P3",'Work Breakdown'!$M$5:$M$40,"Yes"))</f>
        <v/>
      </c>
      <c r="E18" s="13">
        <f>IF(Inputs!$B$8="","TBD",Inputs!$B$8)</f>
        <v/>
      </c>
      <c r="F18" s="13">
        <f>IF(D18="TBD","TBD",IF(D18=0,0,IF(E18="TBD","TBD",D18*E18)))</f>
        <v/>
      </c>
      <c r="G18" s="24">
        <f>IF(COUNTIF($F$16:$F$18,"TBD")&gt;0,"TBD",IF(SUM($F$16:$F$18)=0,"TBD",F18/SUM($F$16:$F$18)))</f>
        <v/>
      </c>
      <c r="H18" s="10" t="inlineStr">
        <is>
          <t>Approved role hours × agreed rate; not a client revenue/profit share. Unknown inputs remain TBD.</t>
        </is>
      </c>
    </row>
    <row r="19" ht="39" customHeight="1">
      <c r="A19" s="14" t="n">
        <v>2</v>
      </c>
      <c r="B19" s="14">
        <f>$B$6</f>
        <v/>
      </c>
      <c r="C19" s="14" t="inlineStr">
        <is>
          <t>Client communications &amp; business development</t>
        </is>
      </c>
      <c r="D19" s="12">
        <f>IF(OR(COUNTIFS('Work Breakdown'!$A$5:$A$40,$A19,'Work Breakdown'!$D$5:$D$40,"Partner",'Work Breakdown'!$E$5:$E$40,"P1",'Work Breakdown'!$M$5:$M$40,"TBD")&gt;0,COUNTIFS('Work Breakdown'!$A$5:$A$40,$A19,'Work Breakdown'!$D$5:$D$40,"Partner",'Work Breakdown'!$E$5:$E$40,"P1",'Work Breakdown'!$M$5:$M$40,"Yes",'Work Breakdown'!$J$5:$J$40,"TBD")&gt;0),"TBD",SUMIFS('Work Breakdown'!$J$5:$J$40,'Work Breakdown'!$A$5:$A$40,$A19,'Work Breakdown'!$E$5:$E$40,"P1",'Work Breakdown'!$M$5:$M$40,"Yes"))</f>
        <v/>
      </c>
      <c r="E19" s="13">
        <f>IF(Inputs!$B$6="","TBD",Inputs!$B$6)</f>
        <v/>
      </c>
      <c r="F19" s="13">
        <f>IF(D19="TBD","TBD",IF(D19=0,0,IF(E19="TBD","TBD",D19*E19)))</f>
        <v/>
      </c>
      <c r="G19" s="24">
        <f>IF(COUNTIF($F$19:$F$21,"TBD")&gt;0,"TBD",IF(SUM($F$19:$F$21)=0,"TBD",F19/SUM($F$19:$F$21)))</f>
        <v/>
      </c>
      <c r="H19" s="10" t="inlineStr">
        <is>
          <t>Approved role hours × agreed rate; not a client revenue/profit share. Unknown inputs remain TBD.</t>
        </is>
      </c>
    </row>
    <row r="20" ht="39" customHeight="1">
      <c r="A20" s="14" t="n">
        <v>2</v>
      </c>
      <c r="B20" s="14">
        <f>$B$6</f>
        <v/>
      </c>
      <c r="C20" s="14" t="inlineStr">
        <is>
          <t>Operations, OSINT, events &amp; external communications</t>
        </is>
      </c>
      <c r="D20" s="12">
        <f>IF(OR(COUNTIFS('Work Breakdown'!$A$5:$A$40,$A20,'Work Breakdown'!$D$5:$D$40,"Partner",'Work Breakdown'!$E$5:$E$40,"P2",'Work Breakdown'!$M$5:$M$40,"TBD")&gt;0,COUNTIFS('Work Breakdown'!$A$5:$A$40,$A20,'Work Breakdown'!$D$5:$D$40,"Partner",'Work Breakdown'!$E$5:$E$40,"P2",'Work Breakdown'!$M$5:$M$40,"Yes",'Work Breakdown'!$J$5:$J$40,"TBD")&gt;0),"TBD",SUMIFS('Work Breakdown'!$J$5:$J$40,'Work Breakdown'!$A$5:$A$40,$A20,'Work Breakdown'!$E$5:$E$40,"P2",'Work Breakdown'!$M$5:$M$40,"Yes"))</f>
        <v/>
      </c>
      <c r="E20" s="13">
        <f>IF(Inputs!$B$7="","TBD",Inputs!$B$7)</f>
        <v/>
      </c>
      <c r="F20" s="13">
        <f>IF(D20="TBD","TBD",IF(D20=0,0,IF(E20="TBD","TBD",D20*E20)))</f>
        <v/>
      </c>
      <c r="G20" s="24">
        <f>IF(COUNTIF($F$19:$F$21,"TBD")&gt;0,"TBD",IF(SUM($F$19:$F$21)=0,"TBD",F20/SUM($F$19:$F$21)))</f>
        <v/>
      </c>
      <c r="H20" s="10" t="inlineStr">
        <is>
          <t>Approved role hours × agreed rate; not a client revenue/profit share. Unknown inputs remain TBD.</t>
        </is>
      </c>
    </row>
    <row r="21" ht="39" customHeight="1">
      <c r="A21" s="14" t="n">
        <v>2</v>
      </c>
      <c r="B21" s="14">
        <f>$B$6</f>
        <v/>
      </c>
      <c r="C21" s="14" t="inlineStr">
        <is>
          <t>Product Owner, strategy &amp; developer relationships</t>
        </is>
      </c>
      <c r="D21" s="12">
        <f>IF(OR(COUNTIFS('Work Breakdown'!$A$5:$A$40,$A21,'Work Breakdown'!$D$5:$D$40,"Partner",'Work Breakdown'!$E$5:$E$40,"P3",'Work Breakdown'!$M$5:$M$40,"TBD")&gt;0,COUNTIFS('Work Breakdown'!$A$5:$A$40,$A21,'Work Breakdown'!$D$5:$D$40,"Partner",'Work Breakdown'!$E$5:$E$40,"P3",'Work Breakdown'!$M$5:$M$40,"Yes",'Work Breakdown'!$J$5:$J$40,"TBD")&gt;0),"TBD",SUMIFS('Work Breakdown'!$J$5:$J$40,'Work Breakdown'!$A$5:$A$40,$A21,'Work Breakdown'!$E$5:$E$40,"P3",'Work Breakdown'!$M$5:$M$40,"Yes"))</f>
        <v/>
      </c>
      <c r="E21" s="13">
        <f>IF(Inputs!$B$8="","TBD",Inputs!$B$8)</f>
        <v/>
      </c>
      <c r="F21" s="13">
        <f>IF(D21="TBD","TBD",IF(D21=0,0,IF(E21="TBD","TBD",D21*E21)))</f>
        <v/>
      </c>
      <c r="G21" s="24">
        <f>IF(COUNTIF($F$19:$F$21,"TBD")&gt;0,"TBD",IF(SUM($F$19:$F$21)=0,"TBD",F21/SUM($F$19:$F$21)))</f>
        <v/>
      </c>
      <c r="H21" s="10" t="inlineStr">
        <is>
          <t>Approved role hours × agreed rate; not a client revenue/profit share. Unknown inputs remain TBD.</t>
        </is>
      </c>
    </row>
    <row r="22" ht="39" customHeight="1">
      <c r="A22" s="14" t="n">
        <v>3</v>
      </c>
      <c r="B22" s="14">
        <f>$B$7</f>
        <v/>
      </c>
      <c r="C22" s="14" t="inlineStr">
        <is>
          <t>Client communications &amp; business development</t>
        </is>
      </c>
      <c r="D22" s="12">
        <f>IF(OR(COUNTIFS('Work Breakdown'!$A$5:$A$40,$A22,'Work Breakdown'!$D$5:$D$40,"Partner",'Work Breakdown'!$E$5:$E$40,"P1",'Work Breakdown'!$M$5:$M$40,"TBD")&gt;0,COUNTIFS('Work Breakdown'!$A$5:$A$40,$A22,'Work Breakdown'!$D$5:$D$40,"Partner",'Work Breakdown'!$E$5:$E$40,"P1",'Work Breakdown'!$M$5:$M$40,"Yes",'Work Breakdown'!$J$5:$J$40,"TBD")&gt;0),"TBD",SUMIFS('Work Breakdown'!$J$5:$J$40,'Work Breakdown'!$A$5:$A$40,$A22,'Work Breakdown'!$E$5:$E$40,"P1",'Work Breakdown'!$M$5:$M$40,"Yes"))</f>
        <v/>
      </c>
      <c r="E22" s="13">
        <f>IF(Inputs!$B$6="","TBD",Inputs!$B$6)</f>
        <v/>
      </c>
      <c r="F22" s="13">
        <f>IF(D22="TBD","TBD",IF(D22=0,0,IF(E22="TBD","TBD",D22*E22)))</f>
        <v/>
      </c>
      <c r="G22" s="24">
        <f>IF(COUNTIF($F$22:$F$24,"TBD")&gt;0,"TBD",IF(SUM($F$22:$F$24)=0,"TBD",F22/SUM($F$22:$F$24)))</f>
        <v/>
      </c>
      <c r="H22" s="10" t="inlineStr">
        <is>
          <t>Approved role hours × agreed rate; not a client revenue/profit share. Unknown inputs remain TBD.</t>
        </is>
      </c>
    </row>
    <row r="23" ht="39" customHeight="1">
      <c r="A23" s="14" t="n">
        <v>3</v>
      </c>
      <c r="B23" s="14">
        <f>$B$7</f>
        <v/>
      </c>
      <c r="C23" s="14" t="inlineStr">
        <is>
          <t>Operations, OSINT, events &amp; external communications</t>
        </is>
      </c>
      <c r="D23" s="12">
        <f>IF(OR(COUNTIFS('Work Breakdown'!$A$5:$A$40,$A23,'Work Breakdown'!$D$5:$D$40,"Partner",'Work Breakdown'!$E$5:$E$40,"P2",'Work Breakdown'!$M$5:$M$40,"TBD")&gt;0,COUNTIFS('Work Breakdown'!$A$5:$A$40,$A23,'Work Breakdown'!$D$5:$D$40,"Partner",'Work Breakdown'!$E$5:$E$40,"P2",'Work Breakdown'!$M$5:$M$40,"Yes",'Work Breakdown'!$J$5:$J$40,"TBD")&gt;0),"TBD",SUMIFS('Work Breakdown'!$J$5:$J$40,'Work Breakdown'!$A$5:$A$40,$A23,'Work Breakdown'!$E$5:$E$40,"P2",'Work Breakdown'!$M$5:$M$40,"Yes"))</f>
        <v/>
      </c>
      <c r="E23" s="13">
        <f>IF(Inputs!$B$7="","TBD",Inputs!$B$7)</f>
        <v/>
      </c>
      <c r="F23" s="13">
        <f>IF(D23="TBD","TBD",IF(D23=0,0,IF(E23="TBD","TBD",D23*E23)))</f>
        <v/>
      </c>
      <c r="G23" s="24">
        <f>IF(COUNTIF($F$22:$F$24,"TBD")&gt;0,"TBD",IF(SUM($F$22:$F$24)=0,"TBD",F23/SUM($F$22:$F$24)))</f>
        <v/>
      </c>
      <c r="H23" s="10" t="inlineStr">
        <is>
          <t>Approved role hours × agreed rate; not a client revenue/profit share. Unknown inputs remain TBD.</t>
        </is>
      </c>
    </row>
    <row r="24" ht="39" customHeight="1">
      <c r="A24" s="14" t="n">
        <v>3</v>
      </c>
      <c r="B24" s="14">
        <f>$B$7</f>
        <v/>
      </c>
      <c r="C24" s="14" t="inlineStr">
        <is>
          <t>Product Owner, strategy &amp; developer relationships</t>
        </is>
      </c>
      <c r="D24" s="12">
        <f>IF(OR(COUNTIFS('Work Breakdown'!$A$5:$A$40,$A24,'Work Breakdown'!$D$5:$D$40,"Partner",'Work Breakdown'!$E$5:$E$40,"P3",'Work Breakdown'!$M$5:$M$40,"TBD")&gt;0,COUNTIFS('Work Breakdown'!$A$5:$A$40,$A24,'Work Breakdown'!$D$5:$D$40,"Partner",'Work Breakdown'!$E$5:$E$40,"P3",'Work Breakdown'!$M$5:$M$40,"Yes",'Work Breakdown'!$J$5:$J$40,"TBD")&gt;0),"TBD",SUMIFS('Work Breakdown'!$J$5:$J$40,'Work Breakdown'!$A$5:$A$40,$A24,'Work Breakdown'!$E$5:$E$40,"P3",'Work Breakdown'!$M$5:$M$40,"Yes"))</f>
        <v/>
      </c>
      <c r="E24" s="13">
        <f>IF(Inputs!$B$8="","TBD",Inputs!$B$8)</f>
        <v/>
      </c>
      <c r="F24" s="13">
        <f>IF(D24="TBD","TBD",IF(D24=0,0,IF(E24="TBD","TBD",D24*E24)))</f>
        <v/>
      </c>
      <c r="G24" s="24">
        <f>IF(COUNTIF($F$22:$F$24,"TBD")&gt;0,"TBD",IF(SUM($F$22:$F$24)=0,"TBD",F24/SUM($F$22:$F$24)))</f>
        <v/>
      </c>
      <c r="H24" s="10" t="inlineStr">
        <is>
          <t>Approved role hours × agreed rate; not a client revenue/profit share. Unknown inputs remain TBD.</t>
        </is>
      </c>
    </row>
    <row r="25" ht="39" customHeight="1">
      <c r="A25" s="14" t="n">
        <v>4</v>
      </c>
      <c r="B25" s="14">
        <f>$B$8</f>
        <v/>
      </c>
      <c r="C25" s="14" t="inlineStr">
        <is>
          <t>Client communications &amp; business development</t>
        </is>
      </c>
      <c r="D25" s="12">
        <f>IF(OR(COUNTIFS('Work Breakdown'!$A$5:$A$40,$A25,'Work Breakdown'!$D$5:$D$40,"Partner",'Work Breakdown'!$E$5:$E$40,"P1",'Work Breakdown'!$M$5:$M$40,"TBD")&gt;0,COUNTIFS('Work Breakdown'!$A$5:$A$40,$A25,'Work Breakdown'!$D$5:$D$40,"Partner",'Work Breakdown'!$E$5:$E$40,"P1",'Work Breakdown'!$M$5:$M$40,"Yes",'Work Breakdown'!$J$5:$J$40,"TBD")&gt;0),"TBD",SUMIFS('Work Breakdown'!$J$5:$J$40,'Work Breakdown'!$A$5:$A$40,$A25,'Work Breakdown'!$E$5:$E$40,"P1",'Work Breakdown'!$M$5:$M$40,"Yes"))</f>
        <v/>
      </c>
      <c r="E25" s="13">
        <f>IF(Inputs!$B$6="","TBD",Inputs!$B$6)</f>
        <v/>
      </c>
      <c r="F25" s="13">
        <f>IF(D25="TBD","TBD",IF(D25=0,0,IF(E25="TBD","TBD",D25*E25)))</f>
        <v/>
      </c>
      <c r="G25" s="24">
        <f>IF(COUNTIF($F$25:$F$27,"TBD")&gt;0,"TBD",IF(SUM($F$25:$F$27)=0,"TBD",F25/SUM($F$25:$F$27)))</f>
        <v/>
      </c>
      <c r="H25" s="10" t="inlineStr">
        <is>
          <t>Approved role hours × agreed rate; not a client revenue/profit share. Unknown inputs remain TBD.</t>
        </is>
      </c>
    </row>
    <row r="26" ht="39" customHeight="1">
      <c r="A26" s="14" t="n">
        <v>4</v>
      </c>
      <c r="B26" s="14">
        <f>$B$8</f>
        <v/>
      </c>
      <c r="C26" s="14" t="inlineStr">
        <is>
          <t>Operations, OSINT, events &amp; external communications</t>
        </is>
      </c>
      <c r="D26" s="12">
        <f>IF(OR(COUNTIFS('Work Breakdown'!$A$5:$A$40,$A26,'Work Breakdown'!$D$5:$D$40,"Partner",'Work Breakdown'!$E$5:$E$40,"P2",'Work Breakdown'!$M$5:$M$40,"TBD")&gt;0,COUNTIFS('Work Breakdown'!$A$5:$A$40,$A26,'Work Breakdown'!$D$5:$D$40,"Partner",'Work Breakdown'!$E$5:$E$40,"P2",'Work Breakdown'!$M$5:$M$40,"Yes",'Work Breakdown'!$J$5:$J$40,"TBD")&gt;0),"TBD",SUMIFS('Work Breakdown'!$J$5:$J$40,'Work Breakdown'!$A$5:$A$40,$A26,'Work Breakdown'!$E$5:$E$40,"P2",'Work Breakdown'!$M$5:$M$40,"Yes"))</f>
        <v/>
      </c>
      <c r="E26" s="13">
        <f>IF(Inputs!$B$7="","TBD",Inputs!$B$7)</f>
        <v/>
      </c>
      <c r="F26" s="13">
        <f>IF(D26="TBD","TBD",IF(D26=0,0,IF(E26="TBD","TBD",D26*E26)))</f>
        <v/>
      </c>
      <c r="G26" s="24">
        <f>IF(COUNTIF($F$25:$F$27,"TBD")&gt;0,"TBD",IF(SUM($F$25:$F$27)=0,"TBD",F26/SUM($F$25:$F$27)))</f>
        <v/>
      </c>
      <c r="H26" s="10" t="inlineStr">
        <is>
          <t>Approved role hours × agreed rate; not a client revenue/profit share. Unknown inputs remain TBD.</t>
        </is>
      </c>
    </row>
    <row r="27" ht="39" customHeight="1">
      <c r="A27" s="14" t="n">
        <v>4</v>
      </c>
      <c r="B27" s="14">
        <f>$B$8</f>
        <v/>
      </c>
      <c r="C27" s="14" t="inlineStr">
        <is>
          <t>Product Owner, strategy &amp; developer relationships</t>
        </is>
      </c>
      <c r="D27" s="12">
        <f>IF(OR(COUNTIFS('Work Breakdown'!$A$5:$A$40,$A27,'Work Breakdown'!$D$5:$D$40,"Partner",'Work Breakdown'!$E$5:$E$40,"P3",'Work Breakdown'!$M$5:$M$40,"TBD")&gt;0,COUNTIFS('Work Breakdown'!$A$5:$A$40,$A27,'Work Breakdown'!$D$5:$D$40,"Partner",'Work Breakdown'!$E$5:$E$40,"P3",'Work Breakdown'!$M$5:$M$40,"Yes",'Work Breakdown'!$J$5:$J$40,"TBD")&gt;0),"TBD",SUMIFS('Work Breakdown'!$J$5:$J$40,'Work Breakdown'!$A$5:$A$40,$A27,'Work Breakdown'!$E$5:$E$40,"P3",'Work Breakdown'!$M$5:$M$40,"Yes"))</f>
        <v/>
      </c>
      <c r="E27" s="13">
        <f>IF(Inputs!$B$8="","TBD",Inputs!$B$8)</f>
        <v/>
      </c>
      <c r="F27" s="13">
        <f>IF(D27="TBD","TBD",IF(D27=0,0,IF(E27="TBD","TBD",D27*E27)))</f>
        <v/>
      </c>
      <c r="G27" s="24">
        <f>IF(COUNTIF($F$25:$F$27,"TBD")&gt;0,"TBD",IF(SUM($F$25:$F$27)=0,"TBD",F27/SUM($F$25:$F$27)))</f>
        <v/>
      </c>
      <c r="H27" s="10" t="inlineStr">
        <is>
          <t>Approved role hours × agreed rate; not a client revenue/profit share. Unknown inputs remain TBD.</t>
        </is>
      </c>
    </row>
    <row r="29" ht="48" customHeight="1">
      <c r="A29" s="25" t="inlineStr">
        <is>
          <t>Important: these percentages only divide the estimated partner-work fee subtotal by the three roles, using their assigned hours × editable hourly rates. They do not allocate the client contract amount, software/provider costs, tax, overhead, margin, profit, or cash receipts. The documents reviewed do not define a revenue/profit-sharing agreement; enter one only after the partners agree its basis and terms.</t>
        </is>
      </c>
    </row>
    <row r="30"/>
  </sheetData>
  <mergeCells count="5">
    <mergeCell ref="A11:P11"/>
    <mergeCell ref="A29:H30"/>
    <mergeCell ref="A1:P1"/>
    <mergeCell ref="A14:H14"/>
    <mergeCell ref="A2:P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34" customWidth="1" min="4" max="4"/>
    <col width="66" customWidth="1" min="5" max="5"/>
    <col width="47" customWidth="1" min="6" max="6"/>
    <col width="28" customWidth="1" min="7" max="7"/>
    <col width="70" customWidth="1" min="8" max="8"/>
  </cols>
  <sheetData>
    <row r="1">
      <c r="A1" s="1" t="inlineStr">
        <is>
          <t>Source and assumption register</t>
        </is>
      </c>
    </row>
    <row r="2" ht="34" customHeight="1">
      <c r="A2" s="2" t="inlineStr">
        <is>
          <t>Every numerical input is tagged as source-based or assumption, with units, period, method and limitations.</t>
        </is>
      </c>
    </row>
    <row r="4" ht="36" customHeight="1">
      <c r="A4" s="4" t="inlineStr">
        <is>
          <t>ID</t>
        </is>
      </c>
      <c r="B4" s="4" t="inlineStr">
        <is>
          <t>Input / statement</t>
        </is>
      </c>
      <c r="C4" s="4" t="inlineStr">
        <is>
          <t>Value / scope</t>
        </is>
      </c>
      <c r="D4" s="4" t="inlineStr">
        <is>
          <t>Unit / period</t>
        </is>
      </c>
      <c r="E4" s="4" t="inlineStr">
        <is>
          <t>Origin / source</t>
        </is>
      </c>
      <c r="F4" s="4" t="inlineStr">
        <is>
          <t>Formula / method</t>
        </is>
      </c>
      <c r="G4" s="4" t="inlineStr">
        <is>
          <t>Status</t>
        </is>
      </c>
      <c r="H4" s="4" t="inlineStr">
        <is>
          <t>Connected fields / limitation</t>
        </is>
      </c>
    </row>
    <row r="5" ht="52" customHeight="1">
      <c r="A5" s="5" t="inlineStr">
        <is>
          <t>SRC-01</t>
        </is>
      </c>
      <c r="B5" s="5" t="inlineStr">
        <is>
          <t>Three partner roles</t>
        </is>
      </c>
      <c r="C5" s="5" t="inlineStr">
        <is>
          <t>P1 communications/business development; P2 operations/OSINT/events/external communications; P3 PO/strategy/developer relationships</t>
        </is>
      </c>
      <c r="D5" s="5" t="inlineStr">
        <is>
          <t>Role scope</t>
        </is>
      </c>
      <c r="E5" s="5" t="inlineStr">
        <is>
          <t>ISRM_Partner_Decision_Input_Draft.md §4</t>
        </is>
      </c>
      <c r="F5" s="5" t="inlineStr">
        <is>
          <t>Role mapping only; no historic hours/fees imported</t>
        </is>
      </c>
      <c r="G5" s="5" t="inlineStr">
        <is>
          <t>SOURCE CONTEXT</t>
        </is>
      </c>
      <c r="H5" s="5" t="inlineStr">
        <is>
          <t>Feeds WBS; allocation is proposed.</t>
        </is>
      </c>
    </row>
    <row r="6" ht="52" customHeight="1">
      <c r="A6" s="5" t="inlineStr">
        <is>
          <t>SRC-02</t>
        </is>
      </c>
      <c r="B6" s="5" t="inlineStr">
        <is>
          <t>Four scope circles</t>
        </is>
      </c>
      <c r="C6" s="5" t="inlineStr">
        <is>
          <t>Consulting; application MVP; pilot functionality; remaining functionality</t>
        </is>
      </c>
      <c r="D6" s="5" t="inlineStr">
        <is>
          <t>Scope</t>
        </is>
      </c>
      <c r="E6" s="5" t="inlineStr">
        <is>
          <t>User instructions preserved in current task history</t>
        </is>
      </c>
      <c r="F6" s="5" t="inlineStr">
        <is>
          <t>Ordered, cumulative rollup</t>
        </is>
      </c>
      <c r="G6" s="5" t="inlineStr">
        <is>
          <t>USER-DIRECTED</t>
        </is>
      </c>
      <c r="H6" s="5" t="inlineStr">
        <is>
          <t>Not price tiers.</t>
        </is>
      </c>
    </row>
    <row r="7" ht="52" customHeight="1">
      <c r="A7" s="5" t="inlineStr">
        <is>
          <t>SRC-03</t>
        </is>
      </c>
      <c r="B7" s="5" t="inlineStr">
        <is>
          <t>Trust &amp; Influence preparation</t>
        </is>
      </c>
      <c r="C7" s="5" t="inlineStr">
        <is>
          <t>2–3 days for one preparer</t>
        </is>
      </c>
      <c r="D7" s="5" t="inlineStr">
        <is>
          <t>working days</t>
        </is>
      </c>
      <c r="E7" s="5" t="inlineStr">
        <is>
          <t>Partner decision input §4</t>
        </is>
      </c>
      <c r="F7" s="5" t="inlineStr">
        <is>
          <t>(2+3)/2 × 8 = 20 person-hours</t>
        </is>
      </c>
      <c r="G7" s="10" t="inlineStr">
        <is>
          <t>SOURCE RANGE + ASSUMPTION</t>
        </is>
      </c>
      <c r="H7" s="5" t="inlineStr">
        <is>
          <t>Preparation only; facilitation/drafting separate.</t>
        </is>
      </c>
    </row>
    <row r="8" ht="52" customHeight="1">
      <c r="A8" s="5" t="inlineStr">
        <is>
          <t>SRC-04</t>
        </is>
      </c>
      <c r="B8" s="5" t="inlineStr">
        <is>
          <t>Partner day conversion</t>
        </is>
      </c>
      <c r="C8" s="5" t="inlineStr">
        <is>
          <t>8</t>
        </is>
      </c>
      <c r="D8" s="5" t="inlineStr">
        <is>
          <t>hours / working day</t>
        </is>
      </c>
      <c r="E8" s="5" t="inlineStr">
        <is>
          <t>Editable model assumption</t>
        </is>
      </c>
      <c r="F8" s="5" t="inlineStr">
        <is>
          <t>Used for work rows with day unit</t>
        </is>
      </c>
      <c r="G8" s="10" t="inlineStr">
        <is>
          <t>ASSUMPTION</t>
        </is>
      </c>
      <c r="H8" s="5" t="inlineStr">
        <is>
          <t>Inputs sheet.</t>
        </is>
      </c>
    </row>
    <row r="9" ht="52" customHeight="1">
      <c r="A9" s="5" t="inlineStr">
        <is>
          <t>SRC-05</t>
        </is>
      </c>
      <c r="B9" s="5" t="inlineStr">
        <is>
          <t>Software day conversion</t>
        </is>
      </c>
      <c r="C9" s="5" t="inlineStr">
        <is>
          <t>7.5</t>
        </is>
      </c>
      <c r="D9" s="5" t="inlineStr">
        <is>
          <t>hours / contractor-day</t>
        </is>
      </c>
      <c r="E9" s="5" t="inlineStr">
        <is>
          <t>Lorien UK software contractor guide, 2026: https://www.lorienglobal.com/insights/software-developer-contract-rates-in-the-uk</t>
        </is>
      </c>
      <c r="F9" s="5" t="inlineStr">
        <is>
          <t>£475 midpoint ÷ 7.5 = £63.33/hour</t>
        </is>
      </c>
      <c r="G9" s="10" t="inlineStr">
        <is>
          <t>SOURCE RANGE + ASSUMPTION</t>
        </is>
      </c>
      <c r="H9" s="5" t="inlineStr">
        <is>
          <t>Not supplier quote; editable.</t>
        </is>
      </c>
    </row>
    <row r="10" ht="52" customHeight="1">
      <c r="A10" s="5" t="inlineStr">
        <is>
          <t>SRC-06</t>
        </is>
      </c>
      <c r="B10" s="5" t="inlineStr">
        <is>
          <t>P1 rate proxy</t>
        </is>
      </c>
      <c r="C10" s="5" t="inlineStr">
        <is>
          <t>£49</t>
        </is>
      </c>
      <c r="D10" s="5" t="inlineStr">
        <is>
          <t>GBP/hour; report data 2022–2024</t>
        </is>
      </c>
      <c r="E10" s="5" t="inlineStr">
        <is>
          <t>YunoJuno 2025 Freelancer Rates Report: https://www.yunojuno.com/freelancer-rates-report</t>
        </is>
      </c>
      <c r="F10" s="5" t="inlineStr">
        <is>
          <t>Overall average as broad proxy</t>
        </is>
      </c>
      <c r="G10" s="10" t="inlineStr">
        <is>
          <t>ASSUMPTION · PROXY</t>
        </is>
      </c>
      <c r="H10" s="5" t="inlineStr">
        <is>
          <t>Not exact role match or partner quote.</t>
        </is>
      </c>
    </row>
    <row r="11" ht="52" customHeight="1">
      <c r="A11" s="5" t="inlineStr">
        <is>
          <t>SRC-07</t>
        </is>
      </c>
      <c r="B11" s="5" t="inlineStr">
        <is>
          <t>P2 rate proxy</t>
        </is>
      </c>
      <c r="C11" s="5" t="inlineStr">
        <is>
          <t>£61</t>
        </is>
      </c>
      <c r="D11" s="5" t="inlineStr">
        <is>
          <t>GBP/hour; report data 2022–2024</t>
        </is>
      </c>
      <c r="E11" s="5" t="inlineStr">
        <is>
          <t>YunoJuno 2025 Freelancer Rates Report: https://www.yunojuno.com/freelancer-rates-report</t>
        </is>
      </c>
      <c r="F11" s="5" t="inlineStr">
        <is>
          <t>Market-research average as adjacent operations/OSINT proxy</t>
        </is>
      </c>
      <c r="G11" s="10" t="inlineStr">
        <is>
          <t>ASSUMPTION · PROXY</t>
        </is>
      </c>
      <c r="H11" s="5" t="inlineStr">
        <is>
          <t>Not exact role match or partner quote.</t>
        </is>
      </c>
    </row>
    <row r="12" ht="52" customHeight="1">
      <c r="A12" s="5" t="inlineStr">
        <is>
          <t>SRC-08</t>
        </is>
      </c>
      <c r="B12" s="5" t="inlineStr">
        <is>
          <t>P3 rate proxy</t>
        </is>
      </c>
      <c r="C12" s="5" t="inlineStr">
        <is>
          <t>£65</t>
        </is>
      </c>
      <c r="D12" s="5" t="inlineStr">
        <is>
          <t>GBP/hour; report data 2022–2024</t>
        </is>
      </c>
      <c r="E12" s="5" t="inlineStr">
        <is>
          <t>YunoJuno 2025 Freelancer Rates Report: https://www.yunojuno.com/freelancer-rates-report</t>
        </is>
      </c>
      <c r="F12" s="5" t="inlineStr">
        <is>
          <t>Strategy average as PO/strategy proxy</t>
        </is>
      </c>
      <c r="G12" s="10" t="inlineStr">
        <is>
          <t>ASSUMPTION · PROXY</t>
        </is>
      </c>
      <c r="H12" s="5" t="inlineStr">
        <is>
          <t>Not partner quote.</t>
        </is>
      </c>
    </row>
    <row r="13" ht="52" customHeight="1">
      <c r="A13" s="5" t="inlineStr">
        <is>
          <t>SRC-09</t>
        </is>
      </c>
      <c r="B13" s="5" t="inlineStr">
        <is>
          <t>UK contractor comparator</t>
        </is>
      </c>
      <c r="C13" s="5" t="inlineStr">
        <is>
          <t>£400–£550/day; midpoint £475</t>
        </is>
      </c>
      <c r="D13" s="5" t="inlineStr">
        <is>
          <t>GBP/contractor-day; 2026 guide</t>
        </is>
      </c>
      <c r="E13" s="5" t="inlineStr">
        <is>
          <t>Lorien UK contractor guide above</t>
        </is>
      </c>
      <c r="F13" s="5" t="inlineStr">
        <is>
          <t>(400+550)/2 = £475; hourly proxy = ÷7.5</t>
        </is>
      </c>
      <c r="G13" s="5" t="inlineStr">
        <is>
          <t>SOURCE RANGE · PROXY</t>
        </is>
      </c>
      <c r="H13" s="5" t="inlineStr">
        <is>
          <t>Not supplier quote.</t>
        </is>
      </c>
    </row>
    <row r="14" ht="52" customHeight="1">
      <c r="A14" s="5" t="inlineStr">
        <is>
          <t>SRC-10</t>
        </is>
      </c>
      <c r="B14" s="5" t="inlineStr">
        <is>
          <t>Ukraine software provider band</t>
        </is>
      </c>
      <c r="C14" s="5" t="inlineStr">
        <is>
          <t>USD 25–49/h; midpoint 37</t>
        </is>
      </c>
      <c r="D14" s="5" t="inlineStr">
        <is>
          <t>USD/provider-hour; captured Sep 2026</t>
        </is>
      </c>
      <c r="E14" s="5" t="inlineStr">
        <is>
          <t>Clutch pricing guide: https://clutch.co/developers/pricing</t>
        </is>
      </c>
      <c r="F14" s="5" t="inlineStr">
        <is>
          <t>Arithmetic midpoint; no FX conversion</t>
        </is>
      </c>
      <c r="G14" s="5" t="inlineStr">
        <is>
          <t>SOURCE COMPARATOR</t>
        </is>
      </c>
      <c r="H14" s="5" t="inlineStr">
        <is>
          <t>Provider-directory band, not salary or quote.</t>
        </is>
      </c>
    </row>
    <row r="15" ht="52" customHeight="1">
      <c r="A15" s="5" t="inlineStr">
        <is>
          <t>SRC-11</t>
        </is>
      </c>
      <c r="B15" s="5" t="inlineStr">
        <is>
          <t>US software provider band</t>
        </is>
      </c>
      <c r="C15" s="5" t="inlineStr">
        <is>
          <t>USD 50–99/h; midpoint 74.50</t>
        </is>
      </c>
      <c r="D15" s="5" t="inlineStr">
        <is>
          <t>USD/provider-hour; captured Sep 2026</t>
        </is>
      </c>
      <c r="E15" s="5" t="inlineStr">
        <is>
          <t>Clutch pricing guide above</t>
        </is>
      </c>
      <c r="F15" s="5" t="inlineStr">
        <is>
          <t>Arithmetic midpoint; no FX conversion</t>
        </is>
      </c>
      <c r="G15" s="5" t="inlineStr">
        <is>
          <t>SOURCE COMPARATOR</t>
        </is>
      </c>
      <c r="H15" s="5" t="inlineStr">
        <is>
          <t>Not same-scope quote.</t>
        </is>
      </c>
    </row>
    <row r="16" ht="52" customHeight="1">
      <c r="A16" s="5" t="inlineStr">
        <is>
          <t>SRC-12</t>
        </is>
      </c>
      <c r="B16" s="5" t="inlineStr">
        <is>
          <t>UK consulting provider rate</t>
        </is>
      </c>
      <c r="C16" s="5" t="inlineStr">
        <is>
          <t>Unknown</t>
        </is>
      </c>
      <c r="D16" s="5" t="inlineStr">
        <is>
          <t>GBP/provider-hour; captured Sep 2026</t>
        </is>
      </c>
      <c r="E16" s="5" t="inlineStr">
        <is>
          <t>Clutch consulting guide: https://clutch.co/consulting/pricing</t>
        </is>
      </c>
      <c r="F16" s="5" t="inlineStr">
        <is>
          <t>No UK rate imputed</t>
        </is>
      </c>
      <c r="G16" s="5" t="inlineStr">
        <is>
          <t>SOURCE LIMIT</t>
        </is>
      </c>
      <c r="H16" s="5" t="inlineStr">
        <is>
          <t>No inference from missing data.</t>
        </is>
      </c>
    </row>
    <row r="17" ht="52" customHeight="1">
      <c r="A17" s="5" t="inlineStr">
        <is>
          <t>SRC-13</t>
        </is>
      </c>
      <c r="B17" s="5" t="inlineStr">
        <is>
          <t>Dossier capacity scenario</t>
        </is>
      </c>
      <c r="C17" s="5" t="inlineStr">
        <is>
          <t>300–500; model midpoint 400</t>
        </is>
      </c>
      <c r="D17" s="5" t="inlineStr">
        <is>
          <t>records / capacity scenario</t>
        </is>
      </c>
      <c r="E17" s="5" t="inlineStr">
        <is>
          <t>Partner decision input §5</t>
        </is>
      </c>
      <c r="F17" s="5" t="inlineStr">
        <is>
          <t>(300+500)/2=400</t>
        </is>
      </c>
      <c r="G17" s="10" t="inlineStr">
        <is>
          <t>SOURCE RANGE + ASSUMPTION</t>
        </is>
      </c>
      <c r="H17" s="5" t="inlineStr">
        <is>
          <t>Capacity, not expected participation.</t>
        </is>
      </c>
    </row>
    <row r="18" ht="52" customHeight="1">
      <c r="A18" s="5" t="inlineStr">
        <is>
          <t>ASM-01</t>
        </is>
      </c>
      <c r="B18" s="5" t="inlineStr">
        <is>
          <t>Dossier activity effort</t>
        </is>
      </c>
      <c r="C18" s="5" t="inlineStr">
        <is>
          <t>No assumed value; sample hours only after measurement</t>
        </is>
      </c>
      <c r="D18" s="5" t="inlineStr">
        <is>
          <t>person-minutes by activity, role and reviewed record count</t>
        </is>
      </c>
      <c r="E18" s="5" t="inlineStr">
        <is>
          <t>Partner decision input §5 expressly prohibits assumed minutes or pricing before a permitted sample is timed</t>
        </is>
      </c>
      <c r="F18" s="5" t="inlineStr">
        <is>
          <t>Observed sample hours = measured person-minutes ÷ 60; no automatic extrapolation to 300–500 capacity</t>
        </is>
      </c>
      <c r="G18" s="10" t="inlineStr">
        <is>
          <t>MEASUREMENT REQUIRED</t>
        </is>
      </c>
      <c r="H18" s="5" t="inlineStr">
        <is>
          <t>Use Dossier Measurement log. Sample data is not a pilot-total estimate; any extrapolation needs separate representativeness and scope review.</t>
        </is>
      </c>
    </row>
    <row r="19" ht="52" customHeight="1">
      <c r="A19" s="5" t="inlineStr">
        <is>
          <t>ASM-02</t>
        </is>
      </c>
      <c r="B19" s="5" t="inlineStr">
        <is>
          <t>Partner effort</t>
        </is>
      </c>
      <c r="C19" s="5" t="inlineStr">
        <is>
          <t>WBS quantities × hours/unit</t>
        </is>
      </c>
      <c r="D19" s="5" t="inlineStr">
        <is>
          <t>person-hours</t>
        </is>
      </c>
      <c r="E19" s="5" t="inlineStr">
        <is>
          <t>New proposed WBS</t>
        </is>
      </c>
      <c r="F19" s="5" t="inlineStr">
        <is>
          <t>Quantity × hours/unit × role rate</t>
        </is>
      </c>
      <c r="G19" s="10" t="inlineStr">
        <is>
          <t>ASSUMPTION</t>
        </is>
      </c>
      <c r="H19" s="5" t="inlineStr">
        <is>
          <t>Not historic, measured or agreed.</t>
        </is>
      </c>
    </row>
    <row r="20" ht="52" customHeight="1">
      <c r="A20" s="5" t="inlineStr">
        <is>
          <t>ASM-03</t>
        </is>
      </c>
      <c r="B20" s="5" t="inlineStr">
        <is>
          <t>Residual software effort</t>
        </is>
      </c>
      <c r="C20" s="5" t="inlineStr">
        <is>
          <t>Supplier days per deliverable</t>
        </is>
      </c>
      <c r="D20" s="5" t="inlineStr">
        <is>
          <t>supplier-hours</t>
        </is>
      </c>
      <c r="E20" s="5" t="inlineStr">
        <is>
          <t>New WBS, pending exact demo reconciliation</t>
        </is>
      </c>
      <c r="F20" s="5" t="inlineStr">
        <is>
          <t>Days × 7.5 × supplier rate</t>
        </is>
      </c>
      <c r="G20" s="10" t="inlineStr">
        <is>
          <t>ASSUMPTION</t>
        </is>
      </c>
      <c r="H20" s="5" t="inlineStr">
        <is>
          <t>Developer review needed; no search graph rebuild in WBS.</t>
        </is>
      </c>
    </row>
    <row r="21" ht="52" customHeight="1">
      <c r="A21" s="5" t="inlineStr">
        <is>
          <t>EX-01</t>
        </is>
      </c>
      <c r="B21" s="5" t="inlineStr">
        <is>
          <t>Reuse compensation</t>
        </is>
      </c>
      <c r="C21" s="5" t="inlineStr">
        <is>
          <t>Internal author allocation only if existing graph/search module is reused and fee agreed</t>
        </is>
      </c>
      <c r="D21" s="5" t="inlineStr">
        <is>
          <t>GBP/one-time</t>
        </is>
      </c>
      <c r="E21" s="5" t="inlineStr">
        <is>
          <t>Partner decision input §3 and §7</t>
        </is>
      </c>
      <c r="F21" s="5" t="inlineStr">
        <is>
          <t>Internal allocation from agreed client receipts; do not add a second client line if already covered by contract total</t>
        </is>
      </c>
      <c r="G21" s="10" t="inlineStr">
        <is>
          <t>EXCLUDED · NOT FREE</t>
        </is>
      </c>
      <c r="H21" s="5" t="inlineStr">
        <is>
          <t>No historic hours or fee inferred; agree author, module boundary and amount among partners.</t>
        </is>
      </c>
    </row>
    <row r="22" ht="52" customHeight="1">
      <c r="A22" s="5" t="inlineStr">
        <is>
          <t>EX-02</t>
        </is>
      </c>
      <c r="B22" s="5" t="inlineStr">
        <is>
          <t>External costs</t>
        </is>
      </c>
      <c r="C22" s="5" t="inlineStr">
        <is>
          <t>£0 excluded</t>
        </is>
      </c>
      <c r="D22" s="5" t="inlineStr">
        <is>
          <t>GBP/one-time</t>
        </is>
      </c>
      <c r="E22" s="5" t="inlineStr">
        <is>
          <t>No confirmed external quote entered</t>
        </is>
      </c>
      <c r="F22" s="5" t="inlineStr">
        <is>
          <t>Included only when status=Include</t>
        </is>
      </c>
      <c r="G22" s="10" t="inlineStr">
        <is>
          <t>EXCLUDED · NOT FREE</t>
        </is>
      </c>
      <c r="H22" s="5" t="inlineStr">
        <is>
          <t>Tax/provider/legal/hosting/licences/travel/support excluded.</t>
        </is>
      </c>
    </row>
    <row r="23" ht="52" customHeight="1">
      <c r="A23" s="5" t="inlineStr">
        <is>
          <t>EX-03</t>
        </is>
      </c>
      <c r="B23" s="5" t="inlineStr">
        <is>
          <t>Legacy estimates</t>
        </is>
      </c>
      <c r="C23" s="5" t="inlineStr">
        <is>
          <t>Not imported</t>
        </is>
      </c>
      <c r="D23" s="5" t="inlineStr">
        <is>
          <t>n/a</t>
        </is>
      </c>
      <c r="E23" s="5" t="inlineStr">
        <is>
          <t>Explicit model boundary</t>
        </is>
      </c>
      <c r="F23" s="5" t="inlineStr">
        <is>
          <t>No legacy sheets, totals or links</t>
        </is>
      </c>
      <c r="G23" s="10" t="inlineStr">
        <is>
          <t>EXCLUDED</t>
        </is>
      </c>
      <c r="H23" s="5" t="inlineStr">
        <is>
          <t>No historic figure enters model.</t>
        </is>
      </c>
    </row>
    <row r="24">
      <c r="A24" s="5" t="inlineStr">
        <is>
          <t>SRC-14</t>
        </is>
      </c>
      <c r="B24" s="5" t="inlineStr">
        <is>
          <t>Reusable graph/search code footprint</t>
        </is>
      </c>
      <c r="C24" s="5" t="inlineStr">
        <is>
          <t>NetworkGraph.tsx 239 + filters.tsx 152 + network.functions.ts 34 + experts.server.ts 139 = 564 physical lines / 533 nonblank lines</t>
        </is>
      </c>
      <c r="D24" s="5" t="inlineStr">
        <is>
          <t>Code snapshot; counted 2026-10-06</t>
        </is>
      </c>
      <c r="E24" s="5" t="inlineStr">
        <is>
          <t>Local repository /Users/alexzvo/.copilot/repos/isrm-insight-hub, named files</t>
        </is>
      </c>
      <c r="F24" s="5" t="inlineStr">
        <is>
          <t>Sum of physical lines and nonblank lines in the four scoped source files</t>
        </is>
      </c>
      <c r="G24" s="5" t="inlineStr">
        <is>
          <t>MEASURED CODE FOOTPRINT</t>
        </is>
      </c>
      <c r="H24" s="5" t="inlineStr">
        <is>
          <t>Defines included reusable surface only; lines do not measure effort, quality, ownership, or price. Proposal/configurator graph and proposal UI excluded.</t>
        </is>
      </c>
    </row>
    <row r="25">
      <c r="A25" s="5" t="inlineStr">
        <is>
          <t>SRC-15</t>
        </is>
      </c>
      <c r="B25" s="5" t="inlineStr">
        <is>
          <t>UK software developer contractor median day rate</t>
        </is>
      </c>
      <c r="C25" s="5" t="inlineStr">
        <is>
          <t>£525</t>
        </is>
      </c>
      <c r="D25" s="5" t="inlineStr">
        <is>
          <t>GBP / developer-day; vacancy data for 6 months to 2026-10-05; 256 daily rates quoted</t>
        </is>
      </c>
      <c r="E25" s="5" t="inlineStr">
        <is>
          <t>ITJobsWatch, UK Software Developer contractor statistics: https://www.itjobswatch.co.uk/contracts/uk/software%20developer.do</t>
        </is>
      </c>
      <c r="F25" s="5" t="inlineStr">
        <is>
          <t>Use published median daily rate directly; no currency conversion or hourly conversion</t>
        </is>
      </c>
      <c r="G25" s="5" t="inlineStr">
        <is>
          <t>SOURCE · MARKET MEDIAN</t>
        </is>
      </c>
      <c r="H25" s="5" t="inlineStr">
        <is>
          <t>Job-vacancy market benchmark, not a project quote, supplier quote, or fixed tariff.</t>
        </is>
      </c>
    </row>
    <row r="26">
      <c r="A26" s="5" t="inlineStr">
        <is>
          <t>SRC-16</t>
        </is>
      </c>
      <c r="B26" s="5" t="inlineStr">
        <is>
          <t>Observed calendar span between relevant code edits</t>
        </is>
      </c>
      <c r="C26" s="5" t="inlineStr">
        <is>
          <t>2026-09-26 12:22:18Z to 2026-10-05 17:49:18Z = 9 days 5 hours 27 minutes</t>
        </is>
      </c>
      <c r="D26" s="5" t="inlineStr">
        <is>
          <t>Elapsed calendar time; UTC timestamps</t>
        </is>
      </c>
      <c r="E26" s="5" t="inlineStr">
        <is>
          <t>Local session file history: first graph/network function edit and latest related filter edit</t>
        </is>
      </c>
      <c r="F26" s="5" t="inlineStr">
        <is>
          <t>End timestamp − start timestamp</t>
        </is>
      </c>
      <c r="G26" s="5" t="inlineStr">
        <is>
          <t>MEASURED TIMELINE, NOT LABOR</t>
        </is>
      </c>
      <c r="H26" s="5" t="inlineStr">
        <is>
          <t>Includes idle periods; cannot be represented as developer-hours or billed days.</t>
        </is>
      </c>
    </row>
    <row r="27">
      <c r="A27" s="5" t="inlineStr">
        <is>
          <t>ASM-04</t>
        </is>
      </c>
      <c r="B27" s="5" t="inlineStr">
        <is>
          <t>Graph/search replacement effort</t>
        </is>
      </c>
      <c r="C27" s="5" t="inlineStr">
        <is>
          <t>3–7 days; base case 5 developer-days</t>
        </is>
      </c>
      <c r="D27" s="5" t="inlineStr">
        <is>
          <t>developer-days; planning estimate, 2026-10-06</t>
        </is>
      </c>
      <c r="E27" s="5" t="inlineStr">
        <is>
          <t>Engineering estimate from the scoped implementation and work breakdown on Inputs</t>
        </is>
      </c>
      <c r="F27" s="5" t="inlineStr">
        <is>
          <t>Base = 1.5 graph + 1.0 search/filter + 1.0 data/access + 1.5 integration/verification = 5.0 days; low/high are explicit estimation bounds</t>
        </is>
      </c>
      <c r="G27" s="5" t="inlineStr">
        <is>
          <t>[ASSUMPTION]</t>
        </is>
      </c>
      <c r="H27" s="5" t="inlineStr">
        <is>
          <t>Not actual historic time tracking; price = estimated days × SRC-15 rate. Validate scope and effort with a developer before sending as a binding quote.</t>
        </is>
      </c>
    </row>
    <row r="28">
      <c r="A28" s="5" t="inlineStr">
        <is>
          <t>CALC-01</t>
        </is>
      </c>
      <c r="B28" s="5" t="inlineStr">
        <is>
          <t>Standalone one-time graph/search reuse price</t>
        </is>
      </c>
      <c r="C28" s="5" t="inlineStr">
        <is>
          <t>£1,575 low; £2,625 base; £3,675 high</t>
        </is>
      </c>
      <c r="D28" s="5" t="inlineStr">
        <is>
          <t>GBP / one-time; VAT excluded</t>
        </is>
      </c>
      <c r="E28" s="5" t="inlineStr">
        <is>
          <t>SRC-15 + ASM-04</t>
        </is>
      </c>
      <c r="F28" s="5" t="inlineStr">
        <is>
          <t>Low/base/high developer-days × £525/day (3/5/7 × £525); client-facing Circle 2 line is separately toggleable</t>
        </is>
      </c>
      <c r="G28" s="5" t="inlineStr">
        <is>
          <t>CALCULATED · INDICATIVE</t>
        </is>
      </c>
      <c r="H28" s="5" t="inlineStr">
        <is>
          <t>Replacement-cost reference for reusing the scoped capability; not a license valuation, historical invoice, agreed fee, or internal author share.</t>
        </is>
      </c>
    </row>
  </sheetData>
  <autoFilter ref="A4:H23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5" customWidth="1" min="3" max="3"/>
    <col width="16" customWidth="1" min="4" max="4"/>
    <col width="15" customWidth="1" min="5" max="5"/>
    <col width="28" customWidth="1" min="6" max="6"/>
    <col width="105" customWidth="1" min="7" max="7"/>
  </cols>
  <sheetData>
    <row r="1">
      <c r="A1" s="1" t="inlineStr">
        <is>
          <t>Market comparators · reference only, not selected quotes</t>
        </is>
      </c>
    </row>
    <row r="2" ht="34" customHeight="1">
      <c r="A2" s="2" t="inlineStr">
        <is>
          <t>Different currencies and units are not directly comparable; no FX conversion. Provider-directory and contractor rates are not project quotes.</t>
        </is>
      </c>
    </row>
    <row r="4" ht="36" customHeight="1">
      <c r="A4" s="4" t="inlineStr">
        <is>
          <t>Country / market</t>
        </is>
      </c>
      <c r="B4" s="4" t="inlineStr">
        <is>
          <t>Comparator class</t>
        </is>
      </c>
      <c r="C4" s="4" t="inlineStr">
        <is>
          <t>Lower</t>
        </is>
      </c>
      <c r="D4" s="4" t="inlineStr">
        <is>
          <t>Reference</t>
        </is>
      </c>
      <c r="E4" s="4" t="inlineStr">
        <is>
          <t>Upper</t>
        </is>
      </c>
      <c r="F4" s="4" t="inlineStr">
        <is>
          <t>Currency / unit</t>
        </is>
      </c>
      <c r="G4" s="4" t="inlineStr">
        <is>
          <t>Source / period / limitation</t>
        </is>
      </c>
    </row>
    <row r="5" ht="48" customHeight="1">
      <c r="A5" s="2" t="inlineStr">
        <is>
          <t>Ukraine</t>
        </is>
      </c>
      <c r="B5" s="2" t="inlineStr">
        <is>
          <t>Software provider band</t>
        </is>
      </c>
      <c r="C5" s="17" t="n">
        <v>25</v>
      </c>
      <c r="D5" s="17" t="n">
        <v>37</v>
      </c>
      <c r="E5" s="17" t="n">
        <v>49</v>
      </c>
      <c r="F5" s="2" t="inlineStr">
        <is>
          <t>USD / provider-hour</t>
        </is>
      </c>
      <c r="G5" s="2" t="inlineStr">
        <is>
          <t>Clutch software guide captured Sep 2026; directory band, not salary/quote.</t>
        </is>
      </c>
    </row>
    <row r="6" ht="48" customHeight="1">
      <c r="A6" s="2" t="inlineStr">
        <is>
          <t>United States</t>
        </is>
      </c>
      <c r="B6" s="2" t="inlineStr">
        <is>
          <t>Software provider band</t>
        </is>
      </c>
      <c r="C6" s="17" t="n">
        <v>50</v>
      </c>
      <c r="D6" s="17" t="n">
        <v>74.5</v>
      </c>
      <c r="E6" s="17" t="n">
        <v>99</v>
      </c>
      <c r="F6" s="2" t="inlineStr">
        <is>
          <t>USD / provider-hour</t>
        </is>
      </c>
      <c r="G6" s="2" t="inlineStr">
        <is>
          <t>Clutch software guide captured Sep 2026; directory band, not salary/quote.</t>
        </is>
      </c>
    </row>
    <row r="7" ht="48" customHeight="1">
      <c r="A7" s="2" t="inlineStr">
        <is>
          <t>United Kingdom</t>
        </is>
      </c>
      <c r="B7" s="2" t="inlineStr">
        <is>
          <t>Software contractor day rate</t>
        </is>
      </c>
      <c r="C7" s="17" t="n">
        <v>400</v>
      </c>
      <c r="D7" s="17" t="n">
        <v>475</v>
      </c>
      <c r="E7" s="17" t="n">
        <v>550</v>
      </c>
      <c r="F7" s="2" t="inlineStr">
        <is>
          <t>GBP / contractor-day</t>
        </is>
      </c>
      <c r="G7" s="2" t="inlineStr">
        <is>
          <t>Lorien UK guide 2026; midpoint used only as editable rate proxy; 7.5h conversion assumption.</t>
        </is>
      </c>
    </row>
    <row r="8" ht="48" customHeight="1">
      <c r="A8" s="2" t="inlineStr">
        <is>
          <t>United Kingdom</t>
        </is>
      </c>
      <c r="B8" s="2" t="inlineStr">
        <is>
          <t>Business consulting provider rate</t>
        </is>
      </c>
      <c r="C8" s="17" t="inlineStr">
        <is>
          <t>Unknown</t>
        </is>
      </c>
      <c r="D8" s="17" t="inlineStr">
        <is>
          <t>Unknown</t>
        </is>
      </c>
      <c r="E8" s="17" t="inlineStr">
        <is>
          <t>Unknown</t>
        </is>
      </c>
      <c r="F8" s="2" t="inlineStr">
        <is>
          <t>GBP / provider-hour</t>
        </is>
      </c>
      <c r="G8" s="2" t="inlineStr">
        <is>
          <t>Clutch consulting guide captured Sep 2026 reports UK Unknown; no imputation.</t>
        </is>
      </c>
    </row>
    <row r="9" ht="48" customHeight="1">
      <c r="A9" s="2" t="inlineStr">
        <is>
          <t>United States</t>
        </is>
      </c>
      <c r="B9" s="2" t="inlineStr">
        <is>
          <t>Business consulting provider band</t>
        </is>
      </c>
      <c r="C9" s="17" t="n">
        <v>100</v>
      </c>
      <c r="D9" s="17" t="n">
        <v>124.5</v>
      </c>
      <c r="E9" s="17" t="n">
        <v>149</v>
      </c>
      <c r="F9" s="2" t="inlineStr">
        <is>
          <t>USD / provider-hour</t>
        </is>
      </c>
      <c r="G9" s="2" t="inlineStr">
        <is>
          <t>Clutch consulting guide captured Sep 2026; provider band, not same-scope quote.</t>
        </is>
      </c>
    </row>
    <row r="10">
      <c r="A10" s="2" t="inlineStr">
        <is>
          <t>United Kingdom</t>
        </is>
      </c>
      <c r="B10" s="2" t="inlineStr">
        <is>
          <t>Software Developer contractor daily median</t>
        </is>
      </c>
      <c r="C10" s="17" t="n">
        <v>433</v>
      </c>
      <c r="D10" s="17" t="n">
        <v>525</v>
      </c>
      <c r="E10" s="17" t="n">
        <v>575</v>
      </c>
      <c r="F10" s="2" t="inlineStr">
        <is>
          <t>GBP / contractor-day</t>
        </is>
      </c>
      <c r="G10" s="2" t="inlineStr">
        <is>
          <t>ITJobsWatch: vacancy sample, 6 months to 2026-10-05; 25th/median/75th percentiles; 256 daily rates quoted. Benchmark only, not a project quote. https://www.itjobswatch.co.uk/contracts/uk/software%20developer.do</t>
        </is>
      </c>
    </row>
  </sheetData>
  <autoFilter ref="A4:G9"/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4" customWidth="1" min="3" max="3"/>
    <col width="29" customWidth="1" min="4" max="4"/>
    <col width="27" customWidth="1" min="5" max="5"/>
    <col width="45" customWidth="1" min="6" max="6"/>
    <col width="48" customWidth="1" min="7" max="7"/>
  </cols>
  <sheetData>
    <row r="1">
      <c r="A1" s="1" t="inlineStr">
        <is>
          <t>Pilot dossier timing log · evidence only, not a forecast</t>
        </is>
      </c>
    </row>
    <row r="2" ht="42" customHeight="1">
      <c r="A2" s="2" t="inlineStr">
        <is>
          <t>Use only after timing a permitted sample. Record total person-minutes by activity and role, plus sample record count. This measured sample is not automatically multiplied by the 300–500 capacity scenario and is not a priced projection.</t>
        </is>
      </c>
    </row>
    <row r="4" ht="35" customHeight="1">
      <c r="A4" s="4" t="inlineStr">
        <is>
          <t>Activity</t>
        </is>
      </c>
      <c r="B4" s="4" t="inlineStr">
        <is>
          <t>Responsible role / owner</t>
        </is>
      </c>
      <c r="C4" s="4" t="inlineStr">
        <is>
          <t>Records in timed sample</t>
        </is>
      </c>
      <c r="D4" s="4" t="inlineStr">
        <is>
          <t>Observed total person-minutes</t>
        </is>
      </c>
      <c r="E4" s="4" t="inlineStr">
        <is>
          <t>Observed hours (sample only)</t>
        </is>
      </c>
      <c r="F4" s="4" t="inlineStr">
        <is>
          <t>Evidence / sample reference</t>
        </is>
      </c>
      <c r="G4" s="4" t="inlineStr">
        <is>
          <t>Pricing treatment</t>
        </is>
      </c>
    </row>
    <row r="5" ht="44" customHeight="1">
      <c r="A5" s="5" t="inlineStr">
        <is>
          <t>Manual source gathering</t>
        </is>
      </c>
      <c r="B5" s="6" t="n"/>
      <c r="C5" s="6" t="n"/>
      <c r="D5" s="6" t="n"/>
      <c r="E5" s="22">
        <f>IF(AND(ISNUMBER(C5),ISNUMBER(D5)),D5/60,"")</f>
        <v/>
      </c>
      <c r="F5" s="6" t="n"/>
      <c r="G5" s="10" t="inlineStr">
        <is>
          <t>Excluded from estimate — sample measurement only</t>
        </is>
      </c>
    </row>
    <row r="6" ht="44" customHeight="1">
      <c r="A6" s="5" t="inlineStr">
        <is>
          <t>Human reconciliation / evidence review</t>
        </is>
      </c>
      <c r="B6" s="6" t="n"/>
      <c r="C6" s="6" t="n"/>
      <c r="D6" s="6" t="n"/>
      <c r="E6" s="22">
        <f>IF(AND(ISNUMBER(C6),ISNUMBER(D6)),D6/60,"")</f>
        <v/>
      </c>
      <c r="F6" s="6" t="n"/>
      <c r="G6" s="10" t="inlineStr">
        <is>
          <t>Excluded from estimate — sample measurement only</t>
        </is>
      </c>
    </row>
    <row r="7" ht="44" customHeight="1">
      <c r="A7" s="5" t="inlineStr">
        <is>
          <t>Correction / appeal</t>
        </is>
      </c>
      <c r="B7" s="6" t="n"/>
      <c r="C7" s="6" t="n"/>
      <c r="D7" s="6" t="n"/>
      <c r="E7" s="22">
        <f>IF(AND(ISNUMBER(C7),ISNUMBER(D7)),D7/60,"")</f>
        <v/>
      </c>
      <c r="F7" s="6" t="n"/>
      <c r="G7" s="10" t="inlineStr">
        <is>
          <t>Excluded from estimate — sample measurement only</t>
        </is>
      </c>
    </row>
    <row r="8" ht="44" customHeight="1">
      <c r="A8" s="5" t="inlineStr">
        <is>
          <t>Client approval</t>
        </is>
      </c>
      <c r="B8" s="6" t="n"/>
      <c r="C8" s="6" t="n"/>
      <c r="D8" s="6" t="n"/>
      <c r="E8" s="22">
        <f>IF(AND(ISNUMBER(C8),ISNUMBER(D8)),D8/60,"")</f>
        <v/>
      </c>
      <c r="F8" s="6" t="n"/>
      <c r="G8" s="10" t="inlineStr">
        <is>
          <t>Excluded from estimate — sample measurement only</t>
        </is>
      </c>
    </row>
  </sheetData>
  <mergeCells count="2">
    <mergeCell ref="A2:G2"/>
    <mergeCell ref="A1:G1"/>
  </mergeCells>
  <dataValidations count="2">
    <dataValidation sqref="B5:B8" showDropDown="0" showInputMessage="0" showErrorMessage="0" allowBlank="1" type="list">
      <formula1>"P1,P2,P3,Client"</formula1>
    </dataValidation>
    <dataValidation sqref="C5:D8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ISRM Partner Cost Model — Clean Working Draft</dc:title>
  <dc:subject>New editable scope model without historical inputs</dc:subject>
  <dcterms:created xsi:type="dcterms:W3CDTF">2026-10-05T22:28:02Z</dcterms:created>
  <dcterms:modified xsi:type="dcterms:W3CDTF">2026-10-06T01:03:36Z</dcterms:modified>
</cp:coreProperties>
</file>