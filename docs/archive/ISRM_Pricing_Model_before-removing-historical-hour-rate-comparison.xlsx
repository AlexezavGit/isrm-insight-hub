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Rate Benchmark" sheetId="5" state="visible" r:id="rId5"/>
    <sheet name="Scope and Gaps" sheetId="6" state="visible" r:id="rId6"/>
  </sheets>
  <definedNames>
    <definedName name="_xlnm._FilterDatabase" localSheetId="1" hidden="1">'Inputs'!$A$1:$G$19</definedName>
    <definedName name="_xlnm._FilterDatabase" localSheetId="2" hidden="1">'Sources'!$A$1:$H$8</definedName>
    <definedName name="_xlnm._FilterDatabase" localSheetId="5" hidden="1">'Scope and Gaps'!$A$1:$E$11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€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bottom style="thin">
        <color rgb="00D2D8DC"/>
      </bottom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2026-10-01</t>
        </is>
      </c>
    </row>
    <row r="3" ht="30" customHeight="1">
      <c r="A3" s="2" t="inlineStr">
        <is>
          <t>Status</t>
        </is>
      </c>
      <c r="B3" s="2" t="inlineStr">
        <is>
          <t>DRAFT — Phase 1 baseline audit only;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audits the historical estimate and compares a historical-hour assumption with published hourly bands.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this baseline slice before estimating feature-level work and SaaS 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10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10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10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10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10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10" t="inlineStr">
        <is>
          <t>https://ai.google.dev/gemini-api/docs/pricing</t>
        </is>
      </c>
    </row>
  </sheetData>
  <autoFilter ref="A1:H8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audit — not current scope pricing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30" customWidth="1" min="3" max="3"/>
    <col width="60" customWidth="1" min="4" max="4"/>
    <col width="68" customWidth="1" min="5" max="5"/>
  </cols>
  <sheetData>
    <row r="1" ht="28" customHeight="1">
      <c r="A1" s="6" t="inlineStr">
        <is>
          <t>Historical-hour scenario against published Clutch band endpoints</t>
        </is>
      </c>
      <c r="B1" s="6" t="n"/>
      <c r="C1" s="6" t="n"/>
      <c r="D1" s="6" t="n"/>
      <c r="E1" s="6" t="n"/>
    </row>
    <row r="2" ht="30" customHeight="1">
      <c r="A2" s="2" t="inlineStr">
        <is>
          <t>Measure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Formula / source</t>
        </is>
      </c>
      <c r="E2" s="2" t="inlineStr">
        <is>
          <t>Status and caveat</t>
        </is>
      </c>
    </row>
    <row r="3" ht="30" customHeight="1">
      <c r="A3" s="2" t="inlineStr">
        <is>
          <t>Historical planned effort</t>
        </is>
      </c>
      <c r="B3" s="14">
        <f>Inputs!B2</f>
        <v/>
      </c>
      <c r="C3" s="2" t="inlineStr">
        <is>
          <t>person-hours</t>
        </is>
      </c>
      <c r="D3" s="2" t="inlineStr">
        <is>
          <t>Inputs!B2</t>
        </is>
      </c>
      <c r="E3" s="2" t="inlineStr">
        <is>
          <t>⚠ ASSUMPTION; old scope only</t>
        </is>
      </c>
    </row>
    <row r="4" ht="30" customHeight="1">
      <c r="A4" s="2" t="inlineStr">
        <is>
          <t>Ukraine published upper endpoint</t>
        </is>
      </c>
      <c r="B4" s="24">
        <f>Inputs!B4</f>
        <v/>
      </c>
      <c r="C4" s="2" t="inlineStr">
        <is>
          <t>USD / provider-hour</t>
        </is>
      </c>
      <c r="D4" s="2" t="inlineStr">
        <is>
          <t>Clutch, 2026 published band</t>
        </is>
      </c>
      <c r="E4" s="2" t="inlineStr">
        <is>
          <t>Reference endpoint, not a national maximum</t>
        </is>
      </c>
    </row>
    <row r="5" ht="30" customHeight="1">
      <c r="A5" s="2" t="inlineStr">
        <is>
          <t>Ukraine reference total</t>
        </is>
      </c>
      <c r="B5" s="24">
        <f>B3*B4</f>
        <v/>
      </c>
      <c r="C5" s="2" t="inlineStr">
        <is>
          <t>USD one-time</t>
        </is>
      </c>
      <c r="D5" s="2" t="inlineStr">
        <is>
          <t>Historical hours × published band endpoint</t>
        </is>
      </c>
      <c r="E5" s="2" t="inlineStr">
        <is>
          <t>Illustrative only; not a quote</t>
        </is>
      </c>
    </row>
    <row r="6" ht="30" customHeight="1">
      <c r="A6" s="2" t="inlineStr">
        <is>
          <t>US published upper endpoint</t>
        </is>
      </c>
      <c r="B6" s="24">
        <f>Inputs!B6</f>
        <v/>
      </c>
      <c r="C6" s="2" t="inlineStr">
        <is>
          <t>USD / provider-hour</t>
        </is>
      </c>
      <c r="D6" s="2" t="inlineStr">
        <is>
          <t>Clutch, 2026 published band</t>
        </is>
      </c>
      <c r="E6" s="2" t="inlineStr">
        <is>
          <t>Reference endpoint, not a national maximum</t>
        </is>
      </c>
    </row>
    <row r="7" ht="30" customHeight="1">
      <c r="A7" s="2" t="inlineStr">
        <is>
          <t>US reference total</t>
        </is>
      </c>
      <c r="B7" s="24">
        <f>B3*B6</f>
        <v/>
      </c>
      <c r="C7" s="2" t="inlineStr">
        <is>
          <t>USD one-time</t>
        </is>
      </c>
      <c r="D7" s="2" t="inlineStr">
        <is>
          <t>Historical hours × published band endpoint</t>
        </is>
      </c>
      <c r="E7" s="2" t="inlineStr">
        <is>
          <t>Illustrative only; not a quote</t>
        </is>
      </c>
    </row>
    <row r="8" ht="85" customHeight="1">
      <c r="A8" s="3" t="inlineStr">
        <is>
          <t>Comparability limit</t>
        </is>
      </c>
      <c r="B8" s="3" t="inlineStr">
        <is>
          <t>The two totals use the same historical effort assumption but not matched proposals, team composition, risk, scope, taxes, support, IP terms, or service levels.</t>
        </is>
      </c>
      <c r="C8" s="3" t="inlineStr"/>
      <c r="D8" s="3" t="inlineStr"/>
      <c r="E8" s="3" t="inlineStr">
        <is>
          <t>No FX conversion; old internal total remains EUR.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2026-10-01T13:43:37Z</dcterms:modified>
</cp:coreProperties>
</file>