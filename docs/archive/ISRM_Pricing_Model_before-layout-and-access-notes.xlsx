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Inputs" sheetId="2" state="visible" r:id="rId2"/>
    <sheet name="Sources" sheetId="3" state="visible" r:id="rId3"/>
    <sheet name="Legacy Baseline" sheetId="4" state="visible" r:id="rId4"/>
    <sheet name="Rate Benchmark" sheetId="5" state="visible" r:id="rId5"/>
    <sheet name="Scope and Gaps" sheetId="6" state="visible" r:id="rId6"/>
  </sheets>
  <definedNames>
    <definedName name="_xlnm._FilterDatabase" localSheetId="1" hidden="1">'Inputs'!$A$1:$G$19</definedName>
    <definedName name="_xlnm._FilterDatabase" localSheetId="2" hidden="1">'Sources'!$A$1:$H$8</definedName>
    <definedName name="_xlnm._FilterDatabase" localSheetId="5" hidden="1">'Scope and Gaps'!$A$1:$E$11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0.0%"/>
    <numFmt numFmtId="165" formatCode="€#,##0.00"/>
    <numFmt numFmtId="166" formatCode="$#,##0.00"/>
  </numFmts>
  <fonts count="5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b val="1"/>
    </font>
    <font>
      <b val="1"/>
      <color rgb="00FFFFFF"/>
      <sz val="14"/>
    </font>
  </fonts>
  <fills count="6">
    <fill>
      <patternFill/>
    </fill>
    <fill>
      <patternFill patternType="gray125"/>
    </fill>
    <fill>
      <patternFill patternType="solid">
        <fgColor rgb="00183642"/>
      </patternFill>
    </fill>
    <fill>
      <patternFill patternType="solid">
        <fgColor rgb="00FFF1CC"/>
      </patternFill>
    </fill>
    <fill>
      <patternFill patternType="solid">
        <fgColor rgb="00E7F0FA"/>
      </patternFill>
    </fill>
    <fill>
      <patternFill patternType="solid">
        <fgColor rgb="00F2F4F5"/>
      </patternFill>
    </fill>
  </fills>
  <borders count="2">
    <border>
      <left/>
      <right/>
      <top/>
      <bottom/>
      <diagonal/>
    </border>
    <border>
      <bottom style="thin">
        <color rgb="00D2D8DC"/>
      </bottom>
    </border>
  </borders>
  <cellStyleXfs count="2">
    <xf numFmtId="0" fontId="0" fillId="0" borderId="0"/>
    <xf numFmtId="0" fontId="2" fillId="0" borderId="0"/>
  </cellStyleXfs>
  <cellXfs count="19">
    <xf numFmtId="0" fontId="0" fillId="0" borderId="0" pivotButton="0" quotePrefix="0" xfId="0"/>
    <xf numFmtId="0" fontId="4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1" fillId="2" borderId="0" pivotButton="0" quotePrefix="0" xfId="0"/>
    <xf numFmtId="4" fontId="0" fillId="3" borderId="1" applyAlignment="1" pivotButton="0" quotePrefix="0" xfId="0">
      <alignment vertical="top" wrapText="1"/>
    </xf>
    <xf numFmtId="166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0" fontId="2" fillId="0" borderId="0" pivotButton="0" quotePrefix="0" xfId="1"/>
    <xf numFmtId="3" fontId="0" fillId="3" borderId="1" applyAlignment="1" pivotButton="0" quotePrefix="0" xfId="0">
      <alignment vertical="top" wrapText="1"/>
    </xf>
    <xf numFmtId="165" fontId="0" fillId="3" borderId="1" applyAlignment="1" pivotButton="0" quotePrefix="0" xfId="0">
      <alignment vertical="top" wrapText="1"/>
    </xf>
    <xf numFmtId="165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4" fontId="0" fillId="4" borderId="1" applyAlignment="1" pivotButton="0" quotePrefix="0" xfId="0">
      <alignment vertical="top" wrapText="1"/>
    </xf>
    <xf numFmtId="166" fontId="0" fillId="4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OpenAI</author>
  </authors>
  <commentList>
    <comment ref="B2" authorId="0" shapeId="0">
      <text>
        <t>Origin/status recorded in columns E–F. ISRM_Internal_Product_Architecture_Roadmap_and_Pricing.md §§1, 10.1–10.2</t>
      </text>
    </comment>
    <comment ref="B3" authorId="0" shapeId="0">
      <text>
        <t>Origin/status recorded in columns E–F. Clutch Software Development Pricing Guide, updated 2026-09-21</t>
      </text>
    </comment>
    <comment ref="B4" authorId="0" shapeId="0">
      <text>
        <t>Origin/status recorded in columns E–F. Clutch Software Development Pricing Guide, updated 2026-09-21</t>
      </text>
    </comment>
    <comment ref="B5" authorId="0" shapeId="0">
      <text>
        <t>Origin/status recorded in columns E–F. Clutch Software Development Pricing Guide, updated 2026-09-21</t>
      </text>
    </comment>
    <comment ref="B6" authorId="0" shapeId="0">
      <text>
        <t>Origin/status recorded in columns E–F. Clutch Software Development Pricing Guide, updated 2026-09-21</t>
      </text>
    </comment>
    <comment ref="B7" authorId="0" shapeId="0">
      <text>
        <t>Origin/status recorded in columns E–F. Upwork Software Developer Cost page</t>
      </text>
    </comment>
    <comment ref="B8" authorId="0" shapeId="0">
      <text>
        <t>Origin/status recorded in columns E–F. Upwork Software Developer Cost page</t>
      </text>
    </comment>
    <comment ref="B9" authorId="0" shapeId="0">
      <text>
        <t>Origin/status recorded in columns E–F. Upwork Software Developer Cost page</t>
      </text>
    </comment>
    <comment ref="B10" authorId="0" shapeId="0">
      <text>
        <t>Origin/status recorded in columns E–F. ISRM_Internal_Product_Architecture_Roadmap_and_Pricing.md §10.1</t>
      </text>
    </comment>
    <comment ref="B11" authorId="0" shapeId="0">
      <text>
        <t>Origin/status recorded in columns E–F. ISRM_Internal_Product_Architecture_Roadmap_and_Pricing.md §10.1</t>
      </text>
    </comment>
    <comment ref="B12" authorId="0" shapeId="0">
      <text>
        <t>Origin/status recorded in columns E–F. User instruction in current conversation</t>
      </text>
    </comment>
    <comment ref="B13" authorId="0" shapeId="0">
      <text>
        <t>Origin/status recorded in columns E–F. Supabase Pricing</t>
      </text>
    </comment>
    <comment ref="B14" authorId="0" shapeId="0">
      <text>
        <t>Origin/status recorded in columns E–F. Supabase Pricing and Compute/Disk docs</t>
      </text>
    </comment>
    <comment ref="B15" authorId="0" shapeId="0">
      <text>
        <t>Origin/status recorded in columns E–F. Cloudflare Workers Pricing</t>
      </text>
    </comment>
    <comment ref="B16" authorId="0" shapeId="0">
      <text>
        <t>Origin/status recorded in columns E–F. Cloudflare Workers Pricing</t>
      </text>
    </comment>
    <comment ref="B17" authorId="0" shapeId="0">
      <text>
        <t>Origin/status recorded in columns E–F. Cloudflare Workers Pricing</t>
      </text>
    </comment>
    <comment ref="B18" authorId="0" shapeId="0">
      <text>
        <t>Origin/status recorded in columns E–F. Cloudflare Workers Pricing</t>
      </text>
    </comment>
    <comment ref="B19" authorId="0" shapeId="0">
      <text>
        <t>Origin/status recorded in columns E–F. Cloudflare Workers Pricing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B3" authorId="0" shapeId="0">
      <text>
        <t>Source: internal roadmap §10.1. Historical estimate input; ⚠ ASSUMPTION, not validated for the expanded scope.</t>
      </text>
    </comment>
    <comment ref="C3" authorId="0" shapeId="0">
      <text>
        <t>Source: internal roadmap §10.1. Historical estimate input; ⚠ ASSUMPTION, not validated for the expanded scope.</t>
      </text>
    </comment>
    <comment ref="B4" authorId="0" shapeId="0">
      <text>
        <t>Source: internal roadmap §10.1. Historical estimate input; ⚠ ASSUMPTION, not validated for the expanded scope.</t>
      </text>
    </comment>
    <comment ref="C4" authorId="0" shapeId="0">
      <text>
        <t>Source: internal roadmap §10.1. Historical estimate input; ⚠ ASSUMPTION, not validated for the expanded scope.</t>
      </text>
    </comment>
    <comment ref="B5" authorId="0" shapeId="0">
      <text>
        <t>Source: internal roadmap §10.1. Historical estimate input; ⚠ ASSUMPTION, not validated for the expanded scope.</t>
      </text>
    </comment>
    <comment ref="C5" authorId="0" shapeId="0">
      <text>
        <t>Source: internal roadmap §10.1. Historical estimate input; ⚠ ASSUMPTION, not validated for the expanded scope.</t>
      </text>
    </comment>
    <comment ref="B6" authorId="0" shapeId="0">
      <text>
        <t>Source: internal roadmap §10.1. Historical estimate input; ⚠ ASSUMPTION, not validated for the expanded scope.</t>
      </text>
    </comment>
    <comment ref="C6" authorId="0" shapeId="0">
      <text>
        <t>Source: internal roadmap §10.1. Historical estimate input; ⚠ ASSUMPTION, not validated for the expanded scope.</t>
      </text>
    </comment>
    <comment ref="B7" authorId="0" shapeId="0">
      <text>
        <t>Source: internal roadmap §10.1. Historical estimate input; ⚠ ASSUMPTION, not validated for the expanded scope.</t>
      </text>
    </comment>
    <comment ref="C7" authorId="0" shapeId="0">
      <text>
        <t>Source: internal roadmap §10.1. Historical estimate input; ⚠ ASSUMPTION, not validated for the expanded scope.</t>
      </text>
    </comment>
    <comment ref="B8" authorId="0" shapeId="0">
      <text>
        <t>Source: internal roadmap §10.1. Historical estimate input; ⚠ ASSUMPTION, not validated for the expanded scope.</t>
      </text>
    </comment>
    <comment ref="C8" authorId="0" shapeId="0">
      <text>
        <t>Source: internal roadmap §10.1. Historical estimate input; ⚠ ASSUMPTION, not validated for the expanded scope.</t>
      </text>
    </comment>
    <comment ref="B9" authorId="0" shapeId="0">
      <text>
        <t>Source: internal roadmap §10.1. Historical estimate input; ⚠ ASSUMPTION, not validated for the expanded scope.</t>
      </text>
    </comment>
    <comment ref="C9" authorId="0" shapeId="0">
      <text>
        <t>Source: internal roadmap §10.1. Historical estimate input; ⚠ ASSUMPTION, not validated for the expanded scope.</t>
      </text>
    </comment>
    <comment ref="B10" authorId="0" shapeId="0">
      <text>
        <t>Source: internal roadmap §10.1. Historical estimate input; ⚠ ASSUMPTION, not validated for the expanded scope.</t>
      </text>
    </comment>
    <comment ref="C10" authorId="0" shapeId="0">
      <text>
        <t>Source: internal roadmap §10.1. Historical estimate input; ⚠ ASSUMPTION, not validated for the expanded scope.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hyperlink" Target="https://clutch.co/developers/pricing" TargetMode="External" Id="rId1" /><Relationship Type="http://schemas.openxmlformats.org/officeDocument/2006/relationships/hyperlink" Target="https://clutch.co/developers/pricing" TargetMode="External" Id="rId2" /><Relationship Type="http://schemas.openxmlformats.org/officeDocument/2006/relationships/hyperlink" Target="https://www.upwork.com/hire/software-developers/cost" TargetMode="External" Id="rId3" /><Relationship Type="http://schemas.openxmlformats.org/officeDocument/2006/relationships/hyperlink" Target="https://supabase.com/pricing" TargetMode="External" Id="rId4" /><Relationship Type="http://schemas.openxmlformats.org/officeDocument/2006/relationships/hyperlink" Target="https://developers.cloudflare.com/workers/platform/pricing" TargetMode="External" Id="rId5" /><Relationship Type="http://schemas.openxmlformats.org/officeDocument/2006/relationships/hyperlink" Target="https://ai.google.dev/gemini-api/docs/pricing" TargetMode="External" Id="rId6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28" customHeight="1">
      <c r="A1" s="1" t="inlineStr">
        <is>
          <t>ISRM internal pricing model</t>
        </is>
      </c>
      <c r="B1" s="1" t="n"/>
    </row>
    <row r="2" ht="32" customHeight="1">
      <c r="A2" s="2" t="inlineStr">
        <is>
          <t>Version date</t>
        </is>
      </c>
      <c r="B2" s="2" t="inlineStr">
        <is>
          <t>2026-10-01</t>
        </is>
      </c>
    </row>
    <row r="3" ht="32" customHeight="1">
      <c r="A3" s="2" t="inlineStr">
        <is>
          <t>Status</t>
        </is>
      </c>
      <c r="B3" s="2" t="inlineStr">
        <is>
          <t>DRAFT — Phase 1 baseline audit only; not client-facing</t>
        </is>
      </c>
    </row>
    <row r="4" ht="32" customHeight="1">
      <c r="A4" s="2" t="inlineStr">
        <is>
          <t>Purpose</t>
        </is>
      </c>
      <c r="B4" s="2" t="inlineStr">
        <is>
          <t>Formula-driven starting point for the revised, non-linear proposal model.</t>
        </is>
      </c>
    </row>
    <row r="5" ht="32" customHeight="1">
      <c r="A5" s="3" t="inlineStr">
        <is>
          <t>Color key</t>
        </is>
      </c>
      <c r="B5" s="4" t="inlineStr">
        <is>
          <t>Gold cells are source inputs; blue cells are formulas; gray cells are notes or unresolved items.</t>
        </is>
      </c>
    </row>
    <row r="6" ht="32" customHeight="1">
      <c r="A6" s="5" t="inlineStr">
        <is>
          <t>Pricing boundary</t>
        </is>
      </c>
      <c r="B6" s="5" t="inlineStr">
        <is>
          <t>This section audits the historical estimate and compares a historical-hour assumption with published hourly bands. It is not a quote.</t>
        </is>
      </c>
    </row>
    <row r="7" ht="32" customHeight="1">
      <c r="A7" s="2" t="inlineStr">
        <is>
          <t>Source rule</t>
        </is>
      </c>
      <c r="B7" s="2" t="inlineStr">
        <is>
          <t>Every numeric input has a unit, period, status, and source locator in Inputs/Sources. No FX conversion is included.</t>
        </is>
      </c>
    </row>
    <row r="8" ht="32" customHeight="1">
      <c r="A8" s="2" t="inlineStr">
        <is>
          <t>Known scope gaps</t>
        </is>
      </c>
      <c r="B8" s="2" t="inlineStr">
        <is>
          <t>Feature-level effort, live database environment/schema, user load, support plan, vendor choices, IP terms, and visitor-IP retention remain unresolved.</t>
        </is>
      </c>
    </row>
    <row r="9" ht="32" customHeight="1">
      <c r="A9" s="2" t="inlineStr">
        <is>
          <t>Privacy boundary</t>
        </is>
      </c>
      <c r="B9" s="2" t="inlineStr">
        <is>
          <t>Do not collect visitor IP addresses until notice, legal basis, retention, access controls, and secure storage are agreed. Operator-only visibility does not remove those obligations.</t>
        </is>
      </c>
    </row>
    <row r="10" ht="32" customHeight="1">
      <c r="A10" s="2" t="inlineStr">
        <is>
          <t>Next gate</t>
        </is>
      </c>
      <c r="B10" s="2" t="inlineStr">
        <is>
          <t>Review this baseline slice before estimating feature-level work and SaaS scenarios.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34" customWidth="1" min="3" max="3"/>
    <col width="34" customWidth="1" min="4" max="4"/>
    <col width="26" customWidth="1" min="5" max="5"/>
    <col width="68" customWidth="1" min="6" max="6"/>
    <col width="72" customWidth="1" min="7" max="7"/>
  </cols>
  <sheetData>
    <row r="1" ht="28" customHeight="1">
      <c r="A1" s="6" t="inlineStr">
        <is>
          <t>Input</t>
        </is>
      </c>
      <c r="B1" s="6" t="inlineStr">
        <is>
          <t>Value</t>
        </is>
      </c>
      <c r="C1" s="6" t="inlineStr">
        <is>
          <t>Unit</t>
        </is>
      </c>
      <c r="D1" s="6" t="inlineStr">
        <is>
          <t>Period</t>
        </is>
      </c>
      <c r="E1" s="6" t="inlineStr">
        <is>
          <t>Status</t>
        </is>
      </c>
      <c r="F1" s="6" t="inlineStr">
        <is>
          <t>Origin / locator</t>
        </is>
      </c>
      <c r="G1" s="6" t="inlineStr">
        <is>
          <t>Notes</t>
        </is>
      </c>
    </row>
    <row r="2" ht="32" customHeight="1">
      <c r="A2" s="2" t="inlineStr">
        <is>
          <t>Historical planned effort</t>
        </is>
      </c>
      <c r="B2" s="7" t="n">
        <v>620</v>
      </c>
      <c r="C2" s="2" t="inlineStr">
        <is>
          <t>person-hours</t>
        </is>
      </c>
      <c r="D2" s="2" t="inlineStr">
        <is>
          <t>one-time; old MVP scope</t>
        </is>
      </c>
      <c r="E2" s="2" t="inlineStr">
        <is>
          <t>⚠ ASSUMPTION</t>
        </is>
      </c>
      <c r="F2" s="2" t="inlineStr">
        <is>
          <t>ISRM_Internal_Product_Architecture_Roadmap_and_Pricing.md §§1, 10.1–10.2</t>
        </is>
      </c>
      <c r="G2" s="2" t="inlineStr">
        <is>
          <t>Historical baseline only; scope has changed.</t>
        </is>
      </c>
    </row>
    <row r="3" ht="32" customHeight="1">
      <c r="A3" s="2" t="inlineStr">
        <is>
          <t>Clutch Ukraine band lower endpoint</t>
        </is>
      </c>
      <c r="B3" s="8" t="n">
        <v>25</v>
      </c>
      <c r="C3" s="2" t="inlineStr">
        <is>
          <t>USD / provider-hour</t>
        </is>
      </c>
      <c r="D3" s="2" t="inlineStr">
        <is>
          <t>2026 published band</t>
        </is>
      </c>
      <c r="E3" s="2" t="inlineStr">
        <is>
          <t>Source-reported</t>
        </is>
      </c>
      <c r="F3" s="2" t="inlineStr">
        <is>
          <t>Clutch Software Development Pricing Guide, updated 2026-09-21</t>
        </is>
      </c>
      <c r="G3" s="2" t="inlineStr">
        <is>
          <t>Published band endpoint, not a national floor.</t>
        </is>
      </c>
    </row>
    <row r="4" ht="32" customHeight="1">
      <c r="A4" s="2" t="inlineStr">
        <is>
          <t>Clutch Ukraine band upper endpoint</t>
        </is>
      </c>
      <c r="B4" s="8" t="n">
        <v>49</v>
      </c>
      <c r="C4" s="2" t="inlineStr">
        <is>
          <t>USD / provider-hour</t>
        </is>
      </c>
      <c r="D4" s="2" t="inlineStr">
        <is>
          <t>2026 published band</t>
        </is>
      </c>
      <c r="E4" s="2" t="inlineStr">
        <is>
          <t>Source-reported</t>
        </is>
      </c>
      <c r="F4" s="2" t="inlineStr">
        <is>
          <t>Clutch Software Development Pricing Guide, updated 2026-09-21</t>
        </is>
      </c>
      <c r="G4" s="2" t="inlineStr">
        <is>
          <t>Band endpoint, not a national maximum or a bespoke quote.</t>
        </is>
      </c>
    </row>
    <row r="5" ht="32" customHeight="1">
      <c r="A5" s="2" t="inlineStr">
        <is>
          <t>Clutch US band lower endpoint</t>
        </is>
      </c>
      <c r="B5" s="8" t="n">
        <v>50</v>
      </c>
      <c r="C5" s="2" t="inlineStr">
        <is>
          <t>USD / provider-hour</t>
        </is>
      </c>
      <c r="D5" s="2" t="inlineStr">
        <is>
          <t>2026 published band</t>
        </is>
      </c>
      <c r="E5" s="2" t="inlineStr">
        <is>
          <t>Source-reported</t>
        </is>
      </c>
      <c r="F5" s="2" t="inlineStr">
        <is>
          <t>Clutch Software Development Pricing Guide, updated 2026-09-21</t>
        </is>
      </c>
      <c r="G5" s="2" t="inlineStr">
        <is>
          <t>Published band endpoint, not a national floor.</t>
        </is>
      </c>
    </row>
    <row r="6" ht="32" customHeight="1">
      <c r="A6" s="2" t="inlineStr">
        <is>
          <t>Clutch US band upper endpoint</t>
        </is>
      </c>
      <c r="B6" s="8" t="n">
        <v>99</v>
      </c>
      <c r="C6" s="2" t="inlineStr">
        <is>
          <t>USD / provider-hour</t>
        </is>
      </c>
      <c r="D6" s="2" t="inlineStr">
        <is>
          <t>2026 published band</t>
        </is>
      </c>
      <c r="E6" s="2" t="inlineStr">
        <is>
          <t>Source-reported</t>
        </is>
      </c>
      <c r="F6" s="2" t="inlineStr">
        <is>
          <t>Clutch Software Development Pricing Guide, updated 2026-09-21</t>
        </is>
      </c>
      <c r="G6" s="2" t="inlineStr">
        <is>
          <t>Band endpoint, not a national maximum or a bespoke quote.</t>
        </is>
      </c>
    </row>
    <row r="7" ht="32" customHeight="1">
      <c r="A7" s="2" t="inlineStr">
        <is>
          <t>Upwork global band lower endpoint</t>
        </is>
      </c>
      <c r="B7" s="8" t="n">
        <v>10</v>
      </c>
      <c r="C7" s="2" t="inlineStr">
        <is>
          <t>USD / freelancer-hour</t>
        </is>
      </c>
      <c r="D7" s="2" t="inlineStr">
        <is>
          <t>page accessed 2026-10-01</t>
        </is>
      </c>
      <c r="E7" s="2" t="inlineStr">
        <is>
          <t>Source-reported</t>
        </is>
      </c>
      <c r="F7" s="2" t="inlineStr">
        <is>
          <t>Upwork Software Developer Cost page</t>
        </is>
      </c>
      <c r="G7" s="2" t="inlineStr">
        <is>
          <t>Global freelancer context only; not region-comparable to Clutch.</t>
        </is>
      </c>
    </row>
    <row r="8" ht="32" customHeight="1">
      <c r="A8" s="2" t="inlineStr">
        <is>
          <t>Upwork global band upper endpoint</t>
        </is>
      </c>
      <c r="B8" s="8" t="n">
        <v>100</v>
      </c>
      <c r="C8" s="2" t="inlineStr">
        <is>
          <t>USD / freelancer-hour</t>
        </is>
      </c>
      <c r="D8" s="2" t="inlineStr">
        <is>
          <t>page accessed 2026-10-01</t>
        </is>
      </c>
      <c r="E8" s="2" t="inlineStr">
        <is>
          <t>Source-reported</t>
        </is>
      </c>
      <c r="F8" s="2" t="inlineStr">
        <is>
          <t>Upwork Software Developer Cost page</t>
        </is>
      </c>
      <c r="G8" s="2" t="inlineStr">
        <is>
          <t>Global freelancer context only; not region-comparable to Clutch.</t>
        </is>
      </c>
    </row>
    <row r="9" ht="32" customHeight="1">
      <c r="A9" s="2" t="inlineStr">
        <is>
          <t>Upwork global median</t>
        </is>
      </c>
      <c r="B9" s="8" t="n">
        <v>20</v>
      </c>
      <c r="C9" s="2" t="inlineStr">
        <is>
          <t>USD / freelancer-hour</t>
        </is>
      </c>
      <c r="D9" s="2" t="inlineStr">
        <is>
          <t>page accessed 2026-10-01</t>
        </is>
      </c>
      <c r="E9" s="2" t="inlineStr">
        <is>
          <t>Source-reported</t>
        </is>
      </c>
      <c r="F9" s="2" t="inlineStr">
        <is>
          <t>Upwork Software Developer Cost page</t>
        </is>
      </c>
      <c r="G9" s="2" t="inlineStr">
        <is>
          <t>Global page median; not a company billing rate.</t>
        </is>
      </c>
    </row>
    <row r="10" ht="32" customHeight="1">
      <c r="A10" s="2" t="inlineStr">
        <is>
          <t>Historical reserve</t>
        </is>
      </c>
      <c r="B10" s="9" t="n">
        <v>0.1</v>
      </c>
      <c r="C10" s="2" t="inlineStr">
        <is>
          <t>fraction of base estimate</t>
        </is>
      </c>
      <c r="D10" s="2" t="inlineStr">
        <is>
          <t>one-time; old MVP scope</t>
        </is>
      </c>
      <c r="E10" s="2" t="inlineStr">
        <is>
          <t>⚠ ASSUMPTION</t>
        </is>
      </c>
      <c r="F10" s="2" t="inlineStr">
        <is>
          <t>ISRM_Internal_Product_Architecture_Roadmap_and_Pricing.md §10.1</t>
        </is>
      </c>
      <c r="G10" s="2" t="inlineStr">
        <is>
          <t>Internal planning input, not a validated contingency policy.</t>
        </is>
      </c>
    </row>
    <row r="11" ht="32" customHeight="1">
      <c r="A11" s="2" t="inlineStr">
        <is>
          <t>Historical rounding increment</t>
        </is>
      </c>
      <c r="B11" s="7" t="n">
        <v>100</v>
      </c>
      <c r="C11" s="2" t="inlineStr">
        <is>
          <t>EUR</t>
        </is>
      </c>
      <c r="D11" s="2" t="inlineStr">
        <is>
          <t>one-time; old MVP scope</t>
        </is>
      </c>
      <c r="E11" s="2" t="inlineStr">
        <is>
          <t>Documented convention</t>
        </is>
      </c>
      <c r="F11" s="2" t="inlineStr">
        <is>
          <t>ISRM_Internal_Product_Architecture_Roadmap_and_Pricing.md §10.1</t>
        </is>
      </c>
      <c r="G11" s="2" t="inlineStr">
        <is>
          <t>Old estimate rounded to the nearest €100; not yet approved for the new model.</t>
        </is>
      </c>
    </row>
    <row r="12" ht="32" customHeight="1">
      <c r="A12" s="2" t="inlineStr">
        <is>
          <t>Minimum advance</t>
        </is>
      </c>
      <c r="B12" s="9" t="n">
        <v>0.3</v>
      </c>
      <c r="C12" s="2" t="inlineStr">
        <is>
          <t>fraction of confirmed project estimate</t>
        </is>
      </c>
      <c r="D12" s="2" t="inlineStr">
        <is>
          <t>per contract</t>
        </is>
      </c>
      <c r="E12" s="2" t="inlineStr">
        <is>
          <t>User-approved minimum</t>
        </is>
      </c>
      <c r="F12" s="2" t="inlineStr">
        <is>
          <t>User instruction in current conversation</t>
        </is>
      </c>
      <c r="G12" s="2" t="inlineStr">
        <is>
          <t>Only the minimum advance is set; later milestone percentages remain configurable.</t>
        </is>
      </c>
    </row>
    <row r="13" ht="32" customHeight="1">
      <c r="A13" s="2" t="inlineStr">
        <is>
          <t>Supabase Pro subscription</t>
        </is>
      </c>
      <c r="B13" s="8" t="n">
        <v>25</v>
      </c>
      <c r="C13" s="2" t="inlineStr">
        <is>
          <t>USD / organization-month</t>
        </is>
      </c>
      <c r="D13" s="2" t="inlineStr">
        <is>
          <t>current public price; accessed 2026-10-01</t>
        </is>
      </c>
      <c r="E13" s="2" t="inlineStr">
        <is>
          <t>Source-reported; candidate</t>
        </is>
      </c>
      <c r="F13" s="2" t="inlineStr">
        <is>
          <t>Supabase Pricing</t>
        </is>
      </c>
      <c r="G13" s="2" t="inlineStr">
        <is>
          <t>Not treated as selected production hosting or total SaaS cost.</t>
        </is>
      </c>
    </row>
    <row r="14" ht="32" customHeight="1">
      <c r="A14" s="2" t="inlineStr">
        <is>
          <t>Supabase Micro compute</t>
        </is>
      </c>
      <c r="B14" s="8" t="n">
        <v>10</v>
      </c>
      <c r="C14" s="2" t="inlineStr">
        <is>
          <t>USD / project-month</t>
        </is>
      </c>
      <c r="D14" s="2" t="inlineStr">
        <is>
          <t>current public price; accessed 2026-10-01</t>
        </is>
      </c>
      <c r="E14" s="2" t="inlineStr">
        <is>
          <t>Source-reported; candidate</t>
        </is>
      </c>
      <c r="F14" s="2" t="inlineStr">
        <is>
          <t>Supabase Pricing and Compute/Disk docs</t>
        </is>
      </c>
      <c r="G14" s="2" t="inlineStr">
        <is>
          <t>Pro includes $10 monthly compute credits; project count and sizing remain unknown.</t>
        </is>
      </c>
    </row>
    <row r="15" ht="32" customHeight="1">
      <c r="A15" s="2" t="inlineStr">
        <is>
          <t>Cloudflare Workers Paid subscription</t>
        </is>
      </c>
      <c r="B15" s="8" t="n">
        <v>5</v>
      </c>
      <c r="C15" s="2" t="inlineStr">
        <is>
          <t>USD / account-month</t>
        </is>
      </c>
      <c r="D15" s="2" t="inlineStr">
        <is>
          <t>current public price; accessed 2026-10-01</t>
        </is>
      </c>
      <c r="E15" s="2" t="inlineStr">
        <is>
          <t>Source-reported; candidate</t>
        </is>
      </c>
      <c r="F15" s="2" t="inlineStr">
        <is>
          <t>Cloudflare Workers Pricing</t>
        </is>
      </c>
      <c r="G15" s="2" t="inlineStr">
        <is>
          <t>Account-level plan; allocation to this product and actual usage are unknown.</t>
        </is>
      </c>
    </row>
    <row r="16" ht="32" customHeight="1">
      <c r="A16" s="2" t="inlineStr">
        <is>
          <t>Cloudflare included requests</t>
        </is>
      </c>
      <c r="B16" s="7" t="n">
        <v>10000000</v>
      </c>
      <c r="C16" s="2" t="inlineStr">
        <is>
          <t>requests / account-month</t>
        </is>
      </c>
      <c r="D16" s="2" t="inlineStr">
        <is>
          <t>current public allowance; accessed 2026-10-01</t>
        </is>
      </c>
      <c r="E16" s="2" t="inlineStr">
        <is>
          <t>Source-reported; candidate</t>
        </is>
      </c>
      <c r="F16" s="2" t="inlineStr">
        <is>
          <t>Cloudflare Workers Pricing</t>
        </is>
      </c>
      <c r="G16" s="2" t="inlineStr">
        <is>
          <t>Usage allowance, not a forecast.</t>
        </is>
      </c>
    </row>
    <row r="17" ht="32" customHeight="1">
      <c r="A17" s="2" t="inlineStr">
        <is>
          <t>Cloudflare included CPU</t>
        </is>
      </c>
      <c r="B17" s="7" t="n">
        <v>30000000</v>
      </c>
      <c r="C17" s="2" t="inlineStr">
        <is>
          <t>CPU milliseconds / account-month</t>
        </is>
      </c>
      <c r="D17" s="2" t="inlineStr">
        <is>
          <t>current public allowance; accessed 2026-10-01</t>
        </is>
      </c>
      <c r="E17" s="2" t="inlineStr">
        <is>
          <t>Source-reported; candidate</t>
        </is>
      </c>
      <c r="F17" s="2" t="inlineStr">
        <is>
          <t>Cloudflare Workers Pricing</t>
        </is>
      </c>
      <c r="G17" s="2" t="inlineStr">
        <is>
          <t>Usage allowance, not a forecast.</t>
        </is>
      </c>
    </row>
    <row r="18" ht="32" customHeight="1">
      <c r="A18" s="2" t="inlineStr">
        <is>
          <t>Cloudflare request overage</t>
        </is>
      </c>
      <c r="B18" s="8" t="n">
        <v>0.3</v>
      </c>
      <c r="C18" s="2" t="inlineStr">
        <is>
          <t>USD / additional million requests</t>
        </is>
      </c>
      <c r="D18" s="2" t="inlineStr">
        <is>
          <t>current public price; accessed 2026-10-01</t>
        </is>
      </c>
      <c r="E18" s="2" t="inlineStr">
        <is>
          <t>Source-reported; candidate</t>
        </is>
      </c>
      <c r="F18" s="2" t="inlineStr">
        <is>
          <t>Cloudflare Workers Pricing</t>
        </is>
      </c>
      <c r="G18" s="2" t="inlineStr">
        <is>
          <t>Requires actual request volume.</t>
        </is>
      </c>
    </row>
    <row r="19" ht="32" customHeight="1">
      <c r="A19" s="2" t="inlineStr">
        <is>
          <t>Cloudflare CPU overage</t>
        </is>
      </c>
      <c r="B19" s="8" t="n">
        <v>0.02</v>
      </c>
      <c r="C19" s="2" t="inlineStr">
        <is>
          <t>USD / additional million CPU milliseconds</t>
        </is>
      </c>
      <c r="D19" s="2" t="inlineStr">
        <is>
          <t>current public price; accessed 2026-10-01</t>
        </is>
      </c>
      <c r="E19" s="2" t="inlineStr">
        <is>
          <t>Source-reported; candidate</t>
        </is>
      </c>
      <c r="F19" s="2" t="inlineStr">
        <is>
          <t>Cloudflare Workers Pricing</t>
        </is>
      </c>
      <c r="G19" s="2" t="inlineStr">
        <is>
          <t>Requires actual CPU usage.</t>
        </is>
      </c>
    </row>
  </sheetData>
  <autoFilter ref="A1:G19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8" customWidth="1" min="2" max="2"/>
    <col width="74" customWidth="1" min="3" max="3"/>
    <col width="34" customWidth="1" min="4" max="4"/>
    <col width="26" customWidth="1" min="5" max="5"/>
    <col width="52" customWidth="1" min="6" max="6"/>
    <col width="76" customWidth="1" min="7" max="7"/>
    <col width="56" customWidth="1" min="8" max="8"/>
  </cols>
  <sheetData>
    <row r="1" ht="28" customHeight="1">
      <c r="A1" s="6" t="inlineStr">
        <is>
          <t>Source ID</t>
        </is>
      </c>
      <c r="B1" s="6" t="inlineStr">
        <is>
          <t>Source / locator</t>
        </is>
      </c>
      <c r="C1" s="6" t="inlineStr">
        <is>
          <t>Exact fact used</t>
        </is>
      </c>
      <c r="D1" s="6" t="inlineStr">
        <is>
          <t>Unit / period</t>
        </is>
      </c>
      <c r="E1" s="6" t="inlineStr">
        <is>
          <t>Accessed / published</t>
        </is>
      </c>
      <c r="F1" s="6" t="inlineStr">
        <is>
          <t>How it is used</t>
        </is>
      </c>
      <c r="G1" s="6" t="inlineStr">
        <is>
          <t>Limit / status</t>
        </is>
      </c>
      <c r="H1" s="6" t="inlineStr">
        <is>
          <t>URL</t>
        </is>
      </c>
    </row>
    <row r="2" ht="32" customHeight="1">
      <c r="A2" s="2" t="inlineStr">
        <is>
          <t>INT-WBS</t>
        </is>
      </c>
      <c r="B2" s="2" t="inlineStr">
        <is>
          <t>Internal architecture and pricing roadmap §§1, 10.1–10.2</t>
        </is>
      </c>
      <c r="C2" s="2" t="inlineStr">
        <is>
          <t>Role plan totals 620 hours and €49,170 base; 10% reserve; rounded discussion estimate €54,100.</t>
        </is>
      </c>
      <c r="D2" s="2" t="inlineStr">
        <is>
          <t>person-hours; EUR/hour; EUR one-time</t>
        </is>
      </c>
      <c r="E2" s="2" t="inlineStr">
        <is>
          <t>Document dated 2026-09-26</t>
        </is>
      </c>
      <c r="F2" s="2" t="inlineStr">
        <is>
          <t>Historical arithmetic audit only.</t>
        </is>
      </c>
      <c r="G2" s="2" t="inlineStr">
        <is>
          <t>Internal planning assumptions; not approved for the expanded scope or as a quote.</t>
        </is>
      </c>
      <c r="H2" s="2" t="inlineStr"/>
    </row>
    <row r="3" ht="32" customHeight="1">
      <c r="A3" s="2" t="inlineStr">
        <is>
          <t>CLUTCH-UA</t>
        </is>
      </c>
      <c r="B3" s="2" t="inlineStr">
        <is>
          <t>Clutch Software Development Pricing Guide</t>
        </is>
      </c>
      <c r="C3" s="2" t="inlineStr">
        <is>
          <t>Ukraine provider rate band $25–$49 per hour.</t>
        </is>
      </c>
      <c r="D3" s="2" t="inlineStr">
        <is>
          <t>USD / provider-hour</t>
        </is>
      </c>
      <c r="E3" s="2" t="inlineStr">
        <is>
          <t>Updated 2026-09-21</t>
        </is>
      </c>
      <c r="F3" s="2" t="inlineStr">
        <is>
          <t>Reference scenario uses the upper endpoint only.</t>
        </is>
      </c>
      <c r="G3" s="2" t="inlineStr">
        <is>
          <t>The endpoint is not a country maximum; data is not a matched quote.</t>
        </is>
      </c>
      <c r="H3" s="10" t="inlineStr">
        <is>
          <t>https://clutch.co/developers/pricing</t>
        </is>
      </c>
    </row>
    <row r="4" ht="32" customHeight="1">
      <c r="A4" s="2" t="inlineStr">
        <is>
          <t>CLUTCH-US</t>
        </is>
      </c>
      <c r="B4" s="2" t="inlineStr">
        <is>
          <t>Clutch Software Development Pricing Guide</t>
        </is>
      </c>
      <c r="C4" s="2" t="inlineStr">
        <is>
          <t>United States provider rate band $50–$99 per hour.</t>
        </is>
      </c>
      <c r="D4" s="2" t="inlineStr">
        <is>
          <t>USD / provider-hour</t>
        </is>
      </c>
      <c r="E4" s="2" t="inlineStr">
        <is>
          <t>Updated 2026-09-21</t>
        </is>
      </c>
      <c r="F4" s="2" t="inlineStr">
        <is>
          <t>Reference scenario uses the upper endpoint only.</t>
        </is>
      </c>
      <c r="G4" s="2" t="inlineStr">
        <is>
          <t>The endpoint is not a country maximum; data is not a matched quote.</t>
        </is>
      </c>
      <c r="H4" s="10" t="inlineStr">
        <is>
          <t>https://clutch.co/developers/pricing</t>
        </is>
      </c>
    </row>
    <row r="5" ht="32" customHeight="1">
      <c r="A5" s="2" t="inlineStr">
        <is>
          <t>UPWORK</t>
        </is>
      </c>
      <c r="B5" s="2" t="inlineStr">
        <is>
          <t>Upwork Software Developer Cost page</t>
        </is>
      </c>
      <c r="C5" s="2" t="inlineStr">
        <is>
          <t>Global freelancer range $10–$100/hour; median $20/hour.</t>
        </is>
      </c>
      <c r="D5" s="2" t="inlineStr">
        <is>
          <t>USD / freelancer-hour</t>
        </is>
      </c>
      <c r="E5" s="2" t="inlineStr">
        <is>
          <t>Accessed 2026-10-01</t>
        </is>
      </c>
      <c r="F5" s="2" t="inlineStr">
        <is>
          <t>Broad context only; do not blend with company rates.</t>
        </is>
      </c>
      <c r="G5" s="2" t="inlineStr">
        <is>
          <t>Not a geographic or provider-type match to Clutch.</t>
        </is>
      </c>
      <c r="H5" s="10" t="inlineStr">
        <is>
          <t>https://www.upwork.com/hire/software-developers/cost</t>
        </is>
      </c>
    </row>
    <row r="6" ht="32" customHeight="1">
      <c r="A6" s="2" t="inlineStr">
        <is>
          <t>SUPABASE</t>
        </is>
      </c>
      <c r="B6" s="2" t="inlineStr">
        <is>
          <t>Supabase Pricing and Compute/Disk docs</t>
        </is>
      </c>
      <c r="C6" s="2" t="inlineStr">
        <is>
          <t>Pro subscription $25/month; $10 compute credits; Micro compute starts at $10/month per project.</t>
        </is>
      </c>
      <c r="D6" s="2" t="inlineStr">
        <is>
          <t>USD / organization-month and project-month</t>
        </is>
      </c>
      <c r="E6" s="2" t="inlineStr">
        <is>
          <t>Accessed 2026-10-01</t>
        </is>
      </c>
      <c r="F6" s="2" t="inlineStr">
        <is>
          <t>Candidate recurring infrastructure inputs for a future scenario.</t>
        </is>
      </c>
      <c r="G6" s="2" t="inlineStr">
        <is>
          <t>Supabase direction exists, but data source-of-truth, environment, schema, and project topology are unresolved.</t>
        </is>
      </c>
      <c r="H6" s="10" t="inlineStr">
        <is>
          <t>https://supabase.com/pricing</t>
        </is>
      </c>
    </row>
    <row r="7" ht="32" customHeight="1">
      <c r="A7" s="2" t="inlineStr">
        <is>
          <t>CLOUDFLARE</t>
        </is>
      </c>
      <c r="B7" s="2" t="inlineStr">
        <is>
          <t>Cloudflare Workers Pricing</t>
        </is>
      </c>
      <c r="C7" s="2" t="inlineStr">
        <is>
          <t>Paid plan $5/month; 10 million requests and 30 million CPU-ms included; additional request/CPU pricing is usage-based.</t>
        </is>
      </c>
      <c r="D7" s="2" t="inlineStr">
        <is>
          <t>USD / account-month and usage units</t>
        </is>
      </c>
      <c r="E7" s="2" t="inlineStr">
        <is>
          <t>Accessed 2026-10-01</t>
        </is>
      </c>
      <c r="F7" s="2" t="inlineStr">
        <is>
          <t>Candidate hosting input only.</t>
        </is>
      </c>
      <c r="G7" s="2" t="inlineStr">
        <is>
          <t>Not a complete bill; account allocation and actual usage are unknown.</t>
        </is>
      </c>
      <c r="H7" s="10" t="inlineStr">
        <is>
          <t>https://developers.cloudflare.com/workers/platform/pricing</t>
        </is>
      </c>
    </row>
    <row r="8" ht="32" customHeight="1">
      <c r="A8" s="2" t="inlineStr">
        <is>
          <t>GEMINI</t>
        </is>
      </c>
      <c r="B8" s="2" t="inlineStr">
        <is>
          <t>Google Gemini API Pricing</t>
        </is>
      </c>
      <c r="C8" s="2" t="inlineStr">
        <is>
          <t>Paid API pricing varies by model, input/output tokens, and optional tools such as grounding.</t>
        </is>
      </c>
      <c r="D8" s="2" t="inlineStr">
        <is>
          <t>USD / model-specific usage units</t>
        </is>
      </c>
      <c r="E8" s="2" t="inlineStr">
        <is>
          <t>Accessed 2026-10-01</t>
        </is>
      </c>
      <c r="F8" s="2" t="inlineStr">
        <is>
          <t>No numeric model cost used in this slice.</t>
        </is>
      </c>
      <c r="G8" s="2" t="inlineStr">
        <is>
          <t>No AI model or usage profile has been selected.</t>
        </is>
      </c>
      <c r="H8" s="10" t="inlineStr">
        <is>
          <t>https://ai.google.dev/gemini-api/docs/pricing</t>
        </is>
      </c>
    </row>
  </sheetData>
  <autoFilter ref="A1:H8"/>
  <hyperlinks>
    <hyperlink xmlns:r="http://schemas.openxmlformats.org/officeDocument/2006/relationships" ref="H3" r:id="rId1"/>
    <hyperlink xmlns:r="http://schemas.openxmlformats.org/officeDocument/2006/relationships" ref="H4" r:id="rId2"/>
    <hyperlink xmlns:r="http://schemas.openxmlformats.org/officeDocument/2006/relationships" ref="H5" r:id="rId3"/>
    <hyperlink xmlns:r="http://schemas.openxmlformats.org/officeDocument/2006/relationships" ref="H6" r:id="rId4"/>
    <hyperlink xmlns:r="http://schemas.openxmlformats.org/officeDocument/2006/relationships" ref="H7" r:id="rId5"/>
    <hyperlink xmlns:r="http://schemas.openxmlformats.org/officeDocument/2006/relationships" ref="H8" r:id="rId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25" customWidth="1" min="3" max="3"/>
    <col width="24" customWidth="1" min="4" max="4"/>
    <col width="30" customWidth="1" min="5" max="5"/>
    <col width="50" customWidth="1" min="6" max="6"/>
  </cols>
  <sheetData>
    <row r="1" ht="28" customHeight="1">
      <c r="A1" s="6" t="inlineStr">
        <is>
          <t>Historical estimate audit — not current scope pricing</t>
        </is>
      </c>
      <c r="B1" s="6" t="n"/>
      <c r="C1" s="6" t="n"/>
      <c r="D1" s="6" t="n"/>
      <c r="E1" s="6" t="n"/>
      <c r="F1" s="6" t="n"/>
    </row>
    <row r="2" ht="32" customHeight="1">
      <c r="A2" s="2" t="inlineStr">
        <is>
          <t>Role</t>
        </is>
      </c>
      <c r="B2" s="2" t="inlineStr">
        <is>
          <t>Planned hours</t>
        </is>
      </c>
      <c r="C2" s="2" t="inlineStr">
        <is>
          <t>Planning rate (EUR/hour)</t>
        </is>
      </c>
      <c r="D2" s="2" t="inlineStr">
        <is>
          <t>Line amount (EUR)</t>
        </is>
      </c>
      <c r="E2" s="2" t="inlineStr">
        <is>
          <t>Input status</t>
        </is>
      </c>
      <c r="F2" s="2" t="inlineStr">
        <is>
          <t>Origin</t>
        </is>
      </c>
    </row>
    <row r="3" ht="32" customHeight="1">
      <c r="A3" s="2" t="inlineStr">
        <is>
          <t>Product/Business Analyst</t>
        </is>
      </c>
      <c r="B3" s="11" t="n">
        <v>68</v>
      </c>
      <c r="C3" s="12" t="n">
        <v>80</v>
      </c>
      <c r="D3" s="13">
        <f>B3*C3</f>
        <v/>
      </c>
      <c r="E3" s="2" t="inlineStr">
        <is>
          <t>⚠ ASSUMPTION</t>
        </is>
      </c>
      <c r="F3" s="2" t="inlineStr">
        <is>
          <t>Internal roadmap §10.1</t>
        </is>
      </c>
    </row>
    <row r="4" ht="32" customHeight="1">
      <c r="A4" s="2" t="inlineStr">
        <is>
          <t>UX/UI Designer</t>
        </is>
      </c>
      <c r="B4" s="11" t="n">
        <v>56</v>
      </c>
      <c r="C4" s="12" t="n">
        <v>70</v>
      </c>
      <c r="D4" s="13">
        <f>B4*C4</f>
        <v/>
      </c>
      <c r="E4" s="2" t="inlineStr">
        <is>
          <t>⚠ ASSUMPTION</t>
        </is>
      </c>
      <c r="F4" s="2" t="inlineStr">
        <is>
          <t>Internal roadmap §10.1</t>
        </is>
      </c>
    </row>
    <row r="5" ht="32" customHeight="1">
      <c r="A5" s="2" t="inlineStr">
        <is>
          <t>Solution Architect / Tech Lead</t>
        </is>
      </c>
      <c r="B5" s="11" t="n">
        <v>52</v>
      </c>
      <c r="C5" s="12" t="n">
        <v>100</v>
      </c>
      <c r="D5" s="13">
        <f>B5*C5</f>
        <v/>
      </c>
      <c r="E5" s="2" t="inlineStr">
        <is>
          <t>⚠ ASSUMPTION</t>
        </is>
      </c>
      <c r="F5" s="2" t="inlineStr">
        <is>
          <t>Internal roadmap §10.1</t>
        </is>
      </c>
    </row>
    <row r="6" ht="32" customHeight="1">
      <c r="A6" s="2" t="inlineStr">
        <is>
          <t>Full-stack Engineer</t>
        </is>
      </c>
      <c r="B6" s="11" t="n">
        <v>226</v>
      </c>
      <c r="C6" s="12" t="n">
        <v>80</v>
      </c>
      <c r="D6" s="13">
        <f>B6*C6</f>
        <v/>
      </c>
      <c r="E6" s="2" t="inlineStr">
        <is>
          <t>⚠ ASSUMPTION</t>
        </is>
      </c>
      <c r="F6" s="2" t="inlineStr">
        <is>
          <t>Internal roadmap §10.1</t>
        </is>
      </c>
    </row>
    <row r="7" ht="32" customHeight="1">
      <c r="A7" s="2" t="inlineStr">
        <is>
          <t>Graph / Data Visualization Engineer</t>
        </is>
      </c>
      <c r="B7" s="11" t="n">
        <v>72</v>
      </c>
      <c r="C7" s="12" t="n">
        <v>85</v>
      </c>
      <c r="D7" s="13">
        <f>B7*C7</f>
        <v/>
      </c>
      <c r="E7" s="2" t="inlineStr">
        <is>
          <t>⚠ ASSUMPTION</t>
        </is>
      </c>
      <c r="F7" s="2" t="inlineStr">
        <is>
          <t>Internal roadmap §10.1</t>
        </is>
      </c>
    </row>
    <row r="8" ht="32" customHeight="1">
      <c r="A8" s="2" t="inlineStr">
        <is>
          <t>QA Engineer</t>
        </is>
      </c>
      <c r="B8" s="11" t="n">
        <v>76</v>
      </c>
      <c r="C8" s="12" t="n">
        <v>60</v>
      </c>
      <c r="D8" s="13">
        <f>B8*C8</f>
        <v/>
      </c>
      <c r="E8" s="2" t="inlineStr">
        <is>
          <t>⚠ ASSUMPTION</t>
        </is>
      </c>
      <c r="F8" s="2" t="inlineStr">
        <is>
          <t>Internal roadmap §10.1</t>
        </is>
      </c>
    </row>
    <row r="9" ht="32" customHeight="1">
      <c r="A9" s="2" t="inlineStr">
        <is>
          <t>DevOps / Application Security</t>
        </is>
      </c>
      <c r="B9" s="11" t="n">
        <v>38</v>
      </c>
      <c r="C9" s="12" t="n">
        <v>95</v>
      </c>
      <c r="D9" s="13">
        <f>B9*C9</f>
        <v/>
      </c>
      <c r="E9" s="2" t="inlineStr">
        <is>
          <t>⚠ ASSUMPTION</t>
        </is>
      </c>
      <c r="F9" s="2" t="inlineStr">
        <is>
          <t>Internal roadmap §10.1</t>
        </is>
      </c>
    </row>
    <row r="10" ht="32" customHeight="1">
      <c r="A10" s="2" t="inlineStr">
        <is>
          <t>Project/Delivery Manager</t>
        </is>
      </c>
      <c r="B10" s="11" t="n">
        <v>32</v>
      </c>
      <c r="C10" s="12" t="n">
        <v>70</v>
      </c>
      <c r="D10" s="13">
        <f>B10*C10</f>
        <v/>
      </c>
      <c r="E10" s="2" t="inlineStr">
        <is>
          <t>⚠ ASSUMPTION</t>
        </is>
      </c>
      <c r="F10" s="2" t="inlineStr">
        <is>
          <t>Internal roadmap §10.1</t>
        </is>
      </c>
    </row>
    <row r="11" ht="32" customHeight="1">
      <c r="A11" s="2" t="inlineStr">
        <is>
          <t>Base total</t>
        </is>
      </c>
      <c r="B11" s="14">
        <f>SUM(B3:B10)</f>
        <v/>
      </c>
      <c r="C11" s="2" t="inlineStr"/>
      <c r="D11" s="13">
        <f>SUM(D3:D10)</f>
        <v/>
      </c>
      <c r="E11" s="2" t="inlineStr">
        <is>
          <t>Formula</t>
        </is>
      </c>
      <c r="F11" s="2" t="inlineStr">
        <is>
          <t>Calculated from role rows</t>
        </is>
      </c>
    </row>
    <row r="12" ht="32" customHeight="1">
      <c r="A12" s="2" t="inlineStr">
        <is>
          <t>Reserve rate</t>
        </is>
      </c>
      <c r="B12" s="15">
        <f>Inputs!B10</f>
        <v/>
      </c>
      <c r="C12" s="2" t="inlineStr"/>
      <c r="D12" s="13">
        <f>D11*B12</f>
        <v/>
      </c>
      <c r="E12" s="2" t="inlineStr">
        <is>
          <t>Formula + source input</t>
        </is>
      </c>
      <c r="F12" s="2" t="inlineStr">
        <is>
          <t>Internal roadmap §10.1</t>
        </is>
      </c>
    </row>
    <row r="13" ht="32" customHeight="1">
      <c r="A13" s="2" t="inlineStr">
        <is>
          <t>Exact total before display rounding</t>
        </is>
      </c>
      <c r="B13" s="14" t="inlineStr"/>
      <c r="C13" s="2" t="inlineStr"/>
      <c r="D13" s="13">
        <f>D11+D12</f>
        <v/>
      </c>
      <c r="E13" s="2" t="inlineStr">
        <is>
          <t>Formula</t>
        </is>
      </c>
      <c r="F13" s="2" t="inlineStr">
        <is>
          <t>Base + reserve</t>
        </is>
      </c>
    </row>
    <row r="14" ht="32" customHeight="1">
      <c r="A14" s="2" t="inlineStr">
        <is>
          <t>Historical rounded discussion amount</t>
        </is>
      </c>
      <c r="B14" s="14" t="inlineStr"/>
      <c r="C14" s="2" t="inlineStr"/>
      <c r="D14" s="13">
        <f>ROUND(D13/Inputs!B11,0)*Inputs!B11</f>
        <v/>
      </c>
      <c r="E14" s="2" t="inlineStr">
        <is>
          <t>Formula</t>
        </is>
      </c>
      <c r="F14" s="2" t="inlineStr">
        <is>
          <t>Nearest €100 per old document</t>
        </is>
      </c>
    </row>
    <row r="15" ht="32" customHeight="1">
      <c r="A15" s="2" t="inlineStr">
        <is>
          <t>Minimum advance at 30% of rounded amount</t>
        </is>
      </c>
      <c r="B15" s="15">
        <f>Inputs!B12</f>
        <v/>
      </c>
      <c r="C15" s="2" t="inlineStr"/>
      <c r="D15" s="13">
        <f>D14*B15</f>
        <v/>
      </c>
      <c r="E15" s="2" t="inlineStr">
        <is>
          <t>Formula + user-approved minimum</t>
        </is>
      </c>
      <c r="F15" s="2" t="inlineStr">
        <is>
          <t>30% is a minimum; payment milestones are not agreed</t>
        </is>
      </c>
    </row>
    <row r="16" ht="32" customHeight="1">
      <c r="A16" s="2" t="inlineStr">
        <is>
          <t>Balance after minimum advance</t>
        </is>
      </c>
      <c r="B16" s="14" t="inlineStr"/>
      <c r="C16" s="2" t="inlineStr"/>
      <c r="D16" s="13">
        <f>D14-D15</f>
        <v/>
      </c>
      <c r="E16" s="2" t="inlineStr">
        <is>
          <t>Formula</t>
        </is>
      </c>
      <c r="F16" s="2" t="inlineStr">
        <is>
          <t>Unallocated remainder; do not infer milestone split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4" customWidth="1" min="2" max="2"/>
    <col width="30" customWidth="1" min="3" max="3"/>
    <col width="60" customWidth="1" min="4" max="4"/>
    <col width="68" customWidth="1" min="5" max="5"/>
  </cols>
  <sheetData>
    <row r="1" ht="28" customHeight="1">
      <c r="A1" s="6" t="inlineStr">
        <is>
          <t>Historical-hour scenario against published Clutch band endpoints</t>
        </is>
      </c>
      <c r="B1" s="6" t="n"/>
      <c r="C1" s="6" t="n"/>
      <c r="D1" s="6" t="n"/>
      <c r="E1" s="6" t="n"/>
    </row>
    <row r="2" ht="32" customHeight="1">
      <c r="A2" s="2" t="inlineStr">
        <is>
          <t>Measure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Formula / source</t>
        </is>
      </c>
      <c r="E2" s="2" t="inlineStr">
        <is>
          <t>Status and caveat</t>
        </is>
      </c>
    </row>
    <row r="3" ht="32" customHeight="1">
      <c r="A3" s="2" t="inlineStr">
        <is>
          <t>Historical planned effort</t>
        </is>
      </c>
      <c r="B3" s="16">
        <f>Inputs!B2</f>
        <v/>
      </c>
      <c r="C3" s="2" t="inlineStr">
        <is>
          <t>person-hours</t>
        </is>
      </c>
      <c r="D3" s="2" t="inlineStr">
        <is>
          <t>Inputs!B2</t>
        </is>
      </c>
      <c r="E3" s="2" t="inlineStr">
        <is>
          <t>⚠ ASSUMPTION; old scope only</t>
        </is>
      </c>
    </row>
    <row r="4" ht="32" customHeight="1">
      <c r="A4" s="2" t="inlineStr">
        <is>
          <t>Ukraine published upper endpoint</t>
        </is>
      </c>
      <c r="B4" s="16">
        <f>Inputs!B4</f>
        <v/>
      </c>
      <c r="C4" s="2" t="inlineStr">
        <is>
          <t>USD / provider-hour</t>
        </is>
      </c>
      <c r="D4" s="2" t="inlineStr">
        <is>
          <t>Clutch, 2026 published band</t>
        </is>
      </c>
      <c r="E4" s="2" t="inlineStr">
        <is>
          <t>Reference endpoint, not a national maximum</t>
        </is>
      </c>
    </row>
    <row r="5" ht="32" customHeight="1">
      <c r="A5" s="2" t="inlineStr">
        <is>
          <t>Ukraine reference total</t>
        </is>
      </c>
      <c r="B5" s="17">
        <f>B3*B4</f>
        <v/>
      </c>
      <c r="C5" s="2" t="inlineStr">
        <is>
          <t>USD one-time</t>
        </is>
      </c>
      <c r="D5" s="2" t="inlineStr">
        <is>
          <t>Historical hours × published band endpoint</t>
        </is>
      </c>
      <c r="E5" s="2" t="inlineStr">
        <is>
          <t>Illustrative only; not a quote</t>
        </is>
      </c>
    </row>
    <row r="6" ht="32" customHeight="1">
      <c r="A6" s="2" t="inlineStr">
        <is>
          <t>US published upper endpoint</t>
        </is>
      </c>
      <c r="B6" s="16">
        <f>Inputs!B6</f>
        <v/>
      </c>
      <c r="C6" s="2" t="inlineStr">
        <is>
          <t>USD / provider-hour</t>
        </is>
      </c>
      <c r="D6" s="2" t="inlineStr">
        <is>
          <t>Clutch, 2026 published band</t>
        </is>
      </c>
      <c r="E6" s="2" t="inlineStr">
        <is>
          <t>Reference endpoint, not a national maximum</t>
        </is>
      </c>
    </row>
    <row r="7" ht="32" customHeight="1">
      <c r="A7" s="2" t="inlineStr">
        <is>
          <t>US reference total</t>
        </is>
      </c>
      <c r="B7" s="17">
        <f>B3*B6</f>
        <v/>
      </c>
      <c r="C7" s="2" t="inlineStr">
        <is>
          <t>USD one-time</t>
        </is>
      </c>
      <c r="D7" s="2" t="inlineStr">
        <is>
          <t>Historical hours × published band endpoint</t>
        </is>
      </c>
      <c r="E7" s="2" t="inlineStr">
        <is>
          <t>Illustrative only; not a quote</t>
        </is>
      </c>
    </row>
    <row r="8" ht="32" customHeight="1">
      <c r="A8" s="3" t="inlineStr">
        <is>
          <t>Comparability limit</t>
        </is>
      </c>
      <c r="B8" s="3" t="inlineStr">
        <is>
          <t>The two totals use the same historical effort assumption but not matched proposals, team composition, risk, scope, taxes, support, IP terms, or service levels.</t>
        </is>
      </c>
      <c r="C8" s="3" t="inlineStr"/>
      <c r="D8" s="3" t="inlineStr"/>
      <c r="E8" s="3" t="inlineStr">
        <is>
          <t>No FX conversion; old internal total remains EUR.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75" customWidth="1" min="2" max="2"/>
    <col width="75" customWidth="1" min="3" max="3"/>
    <col width="32" customWidth="1" min="4" max="4"/>
    <col width="82" customWidth="1" min="5" max="5"/>
  </cols>
  <sheetData>
    <row r="1" ht="28" customHeight="1">
      <c r="A1" s="6" t="inlineStr">
        <is>
          <t>Requirement / work package</t>
        </is>
      </c>
      <c r="B1" s="6" t="inlineStr">
        <is>
          <t>Current evidence</t>
        </is>
      </c>
      <c r="C1" s="6" t="inlineStr">
        <is>
          <t>Target behavior / requirement</t>
        </is>
      </c>
      <c r="D1" s="6" t="inlineStr">
        <is>
          <t>Estimate status</t>
        </is>
      </c>
      <c r="E1" s="6" t="inlineStr">
        <is>
          <t>Open input / gate</t>
        </is>
      </c>
    </row>
    <row r="2" ht="32" customHeight="1">
      <c r="A2" s="2" t="inlineStr">
        <is>
          <t>One-page workspace and graph modes</t>
        </is>
      </c>
      <c r="B2" s="2" t="inlineStr">
        <is>
          <t>The root route currently renders network, coordinator, and proposal sections vertically. Config state defines network/platform/dependencies values, but no mode-switch use was found.</t>
        </is>
      </c>
      <c r="C2" s="2" t="inlineStr">
        <is>
          <t>One page with explicit switching among network graph, feature graph, and DEPENDENCIES/MIX view; graph layers can be toggled.</t>
        </is>
      </c>
      <c r="D2" s="3" t="inlineStr">
        <is>
          <t>TBD — no role-hour breakdown</t>
        </is>
      </c>
      <c r="E2" s="18" t="inlineStr">
        <is>
          <t>Confirm final visible label and any required keyboard/touch behavior during UI review.</t>
        </is>
      </c>
    </row>
    <row r="3" ht="32" customHeight="1">
      <c r="A3" s="2" t="inlineStr">
        <is>
          <t>FUNCTION → FEATURE interaction</t>
        </is>
      </c>
      <c r="B3" s="2" t="inlineStr">
        <is>
          <t>The proposal catalog has service dependency IDs; there is no separate FUNCTION entity or function-to-feature map.</t>
        </is>
      </c>
      <c r="C3" s="2" t="inlineStr">
        <is>
          <t>Selecting a function opens a non-full-screen feature frame; approving the feature accepts it and all linked functions.</t>
        </is>
      </c>
      <c r="D3" s="3" t="inlineStr">
        <is>
          <t>TBD — new interaction/workflow</t>
        </is>
      </c>
      <c r="E3" s="18" t="inlineStr">
        <is>
          <t>Define the demo function set and the blank client-request template fields.</t>
        </is>
      </c>
    </row>
    <row r="4" ht="32" customHeight="1">
      <c r="A4" s="2" t="inlineStr">
        <is>
          <t>Feature cancellation and loss confirmation</t>
        </is>
      </c>
      <c r="B4" s="2" t="inlineStr">
        <is>
          <t>Current feature helper toggles one feature ID and does not cascade related function choices.</t>
        </is>
      </c>
      <c r="C4" s="2" t="inlineStr">
        <is>
          <t>Cancellation shows lost functionality and asks for confirmation; only confirmed cancellation removes the feature and linked functions.</t>
        </is>
      </c>
      <c r="D4" s="3" t="inlineStr">
        <is>
          <t>TBD — new interaction/workflow</t>
        </is>
      </c>
      <c r="E4" s="18" t="inlineStr">
        <is>
          <t>Specify whether the warning has cancel/confirm actions and how selections are restored.</t>
        </is>
      </c>
    </row>
    <row r="5" ht="32" customHeight="1">
      <c r="A5" s="2" t="inlineStr">
        <is>
          <t>Client-request function templates</t>
        </is>
      </c>
      <c r="B5" s="2" t="inlineStr">
        <is>
          <t>No blank function-template model was found in proposal config.</t>
        </is>
      </c>
      <c r="C5" s="2" t="inlineStr">
        <is>
          <t>Keep editable blank templates separate from demonstration functions; do not seed invented client requirements.</t>
        </is>
      </c>
      <c r="D5" s="3" t="inlineStr">
        <is>
          <t>TBD — content and UI</t>
        </is>
      </c>
      <c r="E5" s="18" t="inlineStr">
        <is>
          <t>Template fields need confirmation after the demo catalog is mapped.</t>
        </is>
      </c>
    </row>
    <row r="6" ht="32" customHeight="1">
      <c r="A6" s="2" t="inlineStr">
        <is>
          <t>Live table-backed graph</t>
        </is>
      </c>
      <c r="B6" s="2" t="inlineStr">
        <is>
          <t>Network server function reads local experts.json; generated Supabase Database type has no application tables; access contract says final source of truth/import are unapproved.</t>
        </is>
      </c>
      <c r="C6" s="2" t="inlineStr">
        <is>
          <t>Graph reflects authorized table changes on refresh or a defined live-update mechanism.</t>
        </is>
      </c>
      <c r="D6" s="3" t="inlineStr">
        <is>
          <t>TBD — architecture and implementation</t>
        </is>
      </c>
      <c r="E6" s="18" t="inlineStr">
        <is>
          <t>Choose existing project/environment, source-of-truth, schema, refresh semantics, RLS, and migration permission. No data was imported.</t>
        </is>
      </c>
    </row>
    <row r="7" ht="32" customHeight="1">
      <c r="A7" s="2" t="inlineStr">
        <is>
          <t>Operator-only visit IP records</t>
        </is>
      </c>
      <c r="B7" s="2" t="inlineStr">
        <is>
          <t>No IP collection/logging code was found in src.</t>
        </is>
      </c>
      <c r="C7" s="2" t="inlineStr">
        <is>
          <t>Keep visitor network addresses out of the visitor UI and restrict access to authorized operator(s).</t>
        </is>
      </c>
      <c r="D7" s="3" t="inlineStr">
        <is>
          <t>TBD — data handling and operations</t>
        </is>
      </c>
      <c r="E7" s="18" t="inlineStr">
        <is>
          <t>Before implementation decide legal notice/basis, retention, access audit, secure storage, and deletion process. No collection is being added in this slice.</t>
        </is>
      </c>
    </row>
    <row r="8" ht="32" customHeight="1">
      <c r="A8" s="2" t="inlineStr">
        <is>
          <t>Trust / Influence / Projects signals</t>
        </is>
      </c>
      <c r="B8" s="2" t="inlineStr">
        <is>
          <t>Trust is a heuristic; the current replay changes demo verification state. No source-backed Influence or Projects score fields were found.</t>
        </is>
      </c>
      <c r="C8" s="2" t="inlineStr">
        <is>
          <t>Label prototype status; do not show fabricated numeric scores or use them for access/selection.</t>
        </is>
      </c>
      <c r="D8" s="3" t="inlineStr">
        <is>
          <t>TBD — methodology and data source</t>
        </is>
      </c>
      <c r="E8" s="18" t="inlineStr">
        <is>
          <t>Define objective evidence, metrics, corrections/appeals, and provenance before numerical displays.</t>
        </is>
      </c>
    </row>
    <row r="9" ht="32" customHeight="1">
      <c r="A9" s="2" t="inlineStr">
        <is>
          <t>Fixed core plus variable features</t>
        </is>
      </c>
      <c r="B9" s="2" t="inlineStr">
        <is>
          <t>Current proposal sums static service prices; no non-disableable cost base or function-level effort estimates.</t>
        </is>
      </c>
      <c r="C9" s="2" t="inlineStr">
        <is>
          <t>Price unavoidable architecture/team separately; feature work follows dependency-aware effort estimates.</t>
        </is>
      </c>
      <c r="D9" s="3" t="inlineStr">
        <is>
          <t>TBD — requires reviewed work breakdown</t>
        </is>
      </c>
      <c r="E9" s="18" t="inlineStr">
        <is>
          <t>Confirm historical 620 hours are only a comparison baseline, not the new estimate.</t>
        </is>
      </c>
    </row>
    <row r="10" ht="32" customHeight="1">
      <c r="A10" s="2" t="inlineStr">
        <is>
          <t>Managed SaaS and external usage</t>
        </is>
      </c>
      <c r="B10" s="2" t="inlineStr">
        <is>
          <t>No production hosting/data source or expected load is fixed.</t>
        </is>
      </c>
      <c r="C10" s="2" t="inlineStr">
        <is>
          <t>Separate recurring platform/support/maintenance/optional PM from AI/OSINT and other metered pass-through costs.</t>
        </is>
      </c>
      <c r="D10" s="3" t="inlineStr">
        <is>
          <t>TBD — scenario inputs</t>
        </is>
      </c>
      <c r="E10" s="18" t="inlineStr">
        <is>
          <t>Users/tenants/requests/storage/retention, support hours, provider selection, margin/tax, and currency.</t>
        </is>
      </c>
    </row>
    <row r="11" ht="32" customHeight="1">
      <c r="A11" s="2" t="inlineStr">
        <is>
          <t>Partnership and source-code transfer</t>
        </is>
      </c>
      <c r="B11" s="2" t="inlineStr">
        <is>
          <t>Existing document treats recipient/share and transfer rights as open commercial/legal choices.</t>
        </is>
      </c>
      <c r="C11" s="2" t="inlineStr">
        <is>
          <t>Keep revenue share/recipient variable; make IP transfer highest-priced alternative, rights explicitly defined.</t>
        </is>
      </c>
      <c r="D11" s="3" t="inlineStr">
        <is>
          <t>TBD — not numerically priced</t>
        </is>
      </c>
      <c r="E11" s="18" t="inlineStr">
        <is>
          <t>No share %, recipient, exclusivity, reuse rights, or buyout factor set.</t>
        </is>
      </c>
    </row>
  </sheetData>
  <autoFilter ref="A1:E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2026-10-01T13:42:43Z</dcterms:created>
  <dcterms:modified xsi:type="dcterms:W3CDTF">2026-10-01T13:42:43Z</dcterms:modified>
</cp:coreProperties>
</file>