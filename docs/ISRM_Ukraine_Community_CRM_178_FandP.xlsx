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0693310d7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 Dashboard" sheetId="1" r:id="Rb4b11b9e933941c5"/>
    <x:sheet xmlns:r="http://schemas.openxmlformats.org/officeDocument/2006/relationships" name="Community CRM" sheetId="2" r:id="Rd389f6af8db24ad8"/>
    <x:sheet xmlns:r="http://schemas.openxmlformats.org/officeDocument/2006/relationships" name="Expertise Map" sheetId="3" r:id="R3c9d540538094044"/>
    <x:sheet xmlns:r="http://schemas.openxmlformats.org/officeDocument/2006/relationships" name="Verified 45 Research" sheetId="4" r:id="R024c0d1977984c93"/>
    <x:sheet xmlns:r="http://schemas.openxmlformats.org/officeDocument/2006/relationships" name="Engagement Pipeline" sheetId="5" r:id="R144a69305b194596"/>
    <x:sheet xmlns:r="http://schemas.openxmlformats.org/officeDocument/2006/relationships" name="Research Queue" sheetId="6" r:id="R0aa5c2692fad4a01"/>
    <x:sheet xmlns:r="http://schemas.openxmlformats.org/officeDocument/2006/relationships" name="LinkedIn Mapping" sheetId="7" r:id="R74bcc06b4f5d4997"/>
    <x:sheet xmlns:r="http://schemas.openxmlformats.org/officeDocument/2006/relationships" name="Data Rules" sheetId="8" r:id="R6d9aa7a9b3b6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yyyy-mm-dd"/>
  </x:numFmts>
  <x:fonts count="9">
    <x:font>
      <x:sz val="11"/>
      <x:name val="Carlito"/>
    </x:font>
    <x:font>
      <x:b/>
      <x:sz val="18"/>
      <x:color rgb="FFFFFFFF"/>
      <x:name val="Arial"/>
    </x:font>
    <x:font>
      <x:b/>
      <x:sz val="11"/>
      <x:color rgb="FF000000"/>
      <x:name val="Arial"/>
    </x:font>
    <x:font>
      <x:b/>
      <x:sz val="11"/>
      <x:color rgb="FFFFFFFF"/>
      <x:name val="Arial"/>
    </x:font>
    <x:font>
      <x:sz val="12"/>
      <x:color rgb="FF000000"/>
      <x:name val="Arial"/>
    </x:font>
    <x:font>
      <x:b/>
      <x:sz val="12"/>
      <x:color rgb="FFFFFFFF"/>
      <x:name val="Arial"/>
    </x:font>
    <x:font>
      <x:b/>
      <x:sz val="12"/>
      <x:color rgb="FF000000"/>
      <x:name val="Arial"/>
    </x:font>
    <x:font>
      <x:sz val="11"/>
      <x:color rgb="FF00000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2F2F2"/>
      </x:patternFill>
    </x:fill>
    <x:fill>
      <x:patternFill patternType="solid">
        <x:fgColor rgb="FF333333"/>
      </x:patternFill>
    </x:fill>
    <x:fill>
      <x:patternFill patternType="solid">
        <x:fgColor rgb="FF666666"/>
      </x:patternFill>
    </x:fill>
  </x:fills>
  <x:borders count="7">
    <x:border/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horizontal="left" wrapText="1"/>
    </x:xf>
    <x:xf numFmtId="0" fontId="4" fillId="0" borderId="5" xfId="0" applyNumberFormat="1" applyFont="1" applyFill="1" applyBorder="1" applyAlignment="1">
      <x:alignment horizontal="left" vertical="top" wrapText="1"/>
    </x:xf>
    <x:xf numFmtId="200" fontId="4" fillId="0" borderId="5" xfId="0" applyNumberFormat="1" applyFont="1" applyFill="1" applyBorder="1" applyAlignment="1">
      <x:alignment horizontal="left" vertical="top" wrapText="1"/>
    </x:xf>
    <x:xf numFmtId="201" fontId="4" fillId="0" borderId="5" xfId="0" applyNumberFormat="1" applyFont="1" applyFill="1" applyBorder="1" applyAlignment="1">
      <x:alignment horizontal="left" vertical="top" wrapText="1"/>
    </x:xf>
    <x:xf numFmtId="202" fontId="4" fillId="0" borderId="5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/>
    <x:xf numFmtId="0" fontId="6" fillId="0" borderId="5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/>
    <x:xf numFmtId="0" fontId="7" fillId="3" borderId="5" xfId="0" applyNumberFormat="1" applyFont="1" applyFill="1" applyBorder="1"/>
    <x:xf numFmtId="0" fontId="7" fillId="3" borderId="5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3" borderId="5" xfId="0" applyNumberFormat="1" applyFont="1" applyFill="1" applyBorder="1" applyAlignment="1">
      <x:alignment horizontal="left" vertical="top" wrapText="1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804d3e8d04b25" /><Relationship Type="http://schemas.openxmlformats.org/officeDocument/2006/relationships/theme" Target="/xl/theme/theme1.xml" Id="R998e48fcdfee42b1" /><Relationship Type="http://schemas.openxmlformats.org/officeDocument/2006/relationships/sharedStrings" Target="/xl/sharedStrings.xml" Id="R55414b98b64442d6" /><Relationship Type="http://schemas.openxmlformats.org/officeDocument/2006/relationships/worksheet" Target="/xl/worksheets/sheet1.xml" Id="Rb4b11b9e933941c5" /><Relationship Type="http://schemas.openxmlformats.org/officeDocument/2006/relationships/worksheet" Target="/xl/worksheets/sheet2.xml" Id="Rd389f6af8db24ad8" /><Relationship Type="http://schemas.openxmlformats.org/officeDocument/2006/relationships/worksheet" Target="/xl/worksheets/sheet3.xml" Id="R3c9d540538094044" /><Relationship Type="http://schemas.openxmlformats.org/officeDocument/2006/relationships/worksheet" Target="/xl/worksheets/sheet4.xml" Id="R024c0d1977984c93" /><Relationship Type="http://schemas.openxmlformats.org/officeDocument/2006/relationships/worksheet" Target="/xl/worksheets/sheet5.xml" Id="R144a69305b194596" /><Relationship Type="http://schemas.openxmlformats.org/officeDocument/2006/relationships/worksheet" Target="/xl/worksheets/sheet6.xml" Id="R0aa5c2692fad4a01" /><Relationship Type="http://schemas.openxmlformats.org/officeDocument/2006/relationships/worksheet" Target="/xl/worksheets/sheet7.xml" Id="R74bcc06b4f5d4997" /><Relationship Type="http://schemas.openxmlformats.org/officeDocument/2006/relationships/worksheet" Target="/xl/worksheets/sheet8.xml" Id="R6d9aa7a9b3b64a73" /></Relationships>
</file>

<file path=xl/tables/table1.xml><?xml version="1.0" encoding="utf-8"?>
<x:table xmlns:x="http://schemas.openxmlformats.org/spreadsheetml/2006/main" id="1" name="CommunityCRMTable" displayName="CommunityCRMTable" ref="A4:AE182" headerRowCount="1" totalsRowCount="0" totalsRowShown="0">
  <x:autoFilter ref="A4:AE182"/>
  <x:tableColumns count="31">
    <x:tableColumn id="1" name="Record ID"/>
    <x:tableColumn id="2" name="Source platform"/>
    <x:tableColumn id="3" name="Chapter"/>
    <x:tableColumn id="4" name="Original name"/>
    <x:tableColumn id="5" name="Contact name"/>
    <x:tableColumn id="6" name="Phone"/>
    <x:tableColumn id="7" name="Phone-code country"/>
    <x:tableColumn id="8" name="Professional country"/>
    <x:tableColumn id="9" name="City"/>
    <x:tableColumn id="10" name="Organisation"/>
    <x:tableColumn id="11" name="Role"/>
    <x:tableColumn id="12" name="Sector"/>
    <x:tableColumn id="13" name="LinkedIn URL"/>
    <x:tableColumn id="14" name="Other public source"/>
    <x:tableColumn id="15" name="Identity status"/>
    <x:tableColumn id="16" name="Confidence"/>
    <x:tableColumn id="17" name="Group admin"/>
    <x:tableColumn id="18" name="Community role"/>
    <x:tableColumn id="19" name="Relationship type"/>
    <x:tableColumn id="20" name="CRM stage"/>
    <x:tableColumn id="21" name="Priority"/>
    <x:tableColumn id="22" name="F&amp;P / institutional relevance"/>
    <x:tableColumn id="23" name="Next action"/>
    <x:tableColumn id="24" name="Owner"/>
    <x:tableColumn id="25" name="Last verified"/>
    <x:tableColumn id="26" name="Consent / use status"/>
    <x:tableColumn id="27" name="Sensitivity"/>
    <x:tableColumn id="28" name="Expertise tags"/>
    <x:tableColumn id="29" name="WhatsApp status"/>
    <x:tableColumn id="30" name="Search key"/>
    <x:tableColumn id="31" name="Data completenes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ExpertiseMapTable" displayName="ExpertiseMapTable" ref="A4:Q182" headerRowCount="1" totalsRowCount="0" totalsRowShown="0">
  <x:autoFilter ref="A4:Q182"/>
  <x:tableColumns count="17">
    <x:tableColumn id="1" name="Record ID"/>
    <x:tableColumn id="2" name="Contact"/>
    <x:tableColumn id="3" name="Organisation"/>
    <x:tableColumn id="4" name="Role"/>
    <x:tableColumn id="5" name="Sector"/>
    <x:tableColumn id="6" name="Primary expertise"/>
    <x:tableColumn id="7" name="Potential Ukraine experience theme"/>
    <x:tableColumn id="8" name="Evidence basis"/>
    <x:tableColumn id="9" name="Potential ISRM contribution"/>
    <x:tableColumn id="10" name="Potential community role"/>
    <x:tableColumn id="11" name="Case study / content theme"/>
    <x:tableColumn id="12" name="International transferability"/>
    <x:tableColumn id="13" name="Knowledge status"/>
    <x:tableColumn id="14" name="Interview / consent status"/>
    <x:tableColumn id="15" name="Publication sensitivity"/>
    <x:tableColumn id="16" name="Core research question"/>
    <x:tableColumn id="17" name="Public sourc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Verified45ResearchTable" displayName="Verified45ResearchTable" ref="A4:P49" headerRowCount="1" totalsRowCount="0" totalsRowShown="0">
  <x:autoFilter ref="A4:P49"/>
  <x:tableColumns count="16">
    <x:tableColumn id="1" name="Record ID"/>
    <x:tableColumn id="2" name="Contact"/>
    <x:tableColumn id="3" name="Current organisation"/>
    <x:tableColumn id="4" name="Current role"/>
    <x:tableColumn id="5" name="Verified expertise"/>
    <x:tableColumn id="6" name="Documented Ukraine experience / evidence gap"/>
    <x:tableColumn id="7" name="Case-study theme"/>
    <x:tableColumn id="8" name="International relevance"/>
    <x:tableColumn id="9" name="Potential ISRM role"/>
    <x:tableColumn id="10" name="Priority interview question"/>
    <x:tableColumn id="11" name="Evidence level"/>
    <x:tableColumn id="12" name="Primary source"/>
    <x:tableColumn id="13" name="Secondary source"/>
    <x:tableColumn id="14" name="Research date"/>
    <x:tableColumn id="15" name="Interview status"/>
    <x:tableColumn id="16" name="Publication statu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EngagementPipelineTable" displayName="EngagementPipelineTable" ref="A4:P93" headerRowCount="1" totalsRowCount="0" totalsRowShown="0">
  <x:autoFilter ref="A4:P93"/>
  <x:tableColumns count="16">
    <x:tableColumn id="1" name="Record ID"/>
    <x:tableColumn id="2" name="Contact"/>
    <x:tableColumn id="3" name="Organisation"/>
    <x:tableColumn id="4" name="Role"/>
    <x:tableColumn id="5" name="Relationship type"/>
    <x:tableColumn id="6" name="Priority"/>
    <x:tableColumn id="7" name="Identity status"/>
    <x:tableColumn id="8" name="Proposed engagement"/>
    <x:tableColumn id="9" name="ISRM opportunity"/>
    <x:tableColumn id="10" name="F&amp;P opportunity"/>
    <x:tableColumn id="11" name="Next action"/>
    <x:tableColumn id="12" name="Owner"/>
    <x:tableColumn id="13" name="Outreach status"/>
    <x:tableColumn id="14" name="Last contact"/>
    <x:tableColumn id="15" name="Next contact"/>
    <x:tableColumn id="16" name="Outcome note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ResearchQueueTable" displayName="ResearchQueueTable" ref="A4:L137" headerRowCount="1" totalsRowCount="0" totalsRowShown="0">
  <x:autoFilter ref="A4:L137"/>
  <x:tableColumns count="12">
    <x:tableColumn id="1" name="Record ID"/>
    <x:tableColumn id="2" name="Original name"/>
    <x:tableColumn id="3" name="Phone"/>
    <x:tableColumn id="4" name="Identity status"/>
    <x:tableColumn id="5" name="Current hypothesis"/>
    <x:tableColumn id="6" name="Organisation / role clue"/>
    <x:tableColumn id="7" name="Missing information"/>
    <x:tableColumn id="8" name="Recommended method"/>
    <x:tableColumn id="9" name="Research priority"/>
    <x:tableColumn id="10" name="Research status"/>
    <x:tableColumn id="11" name="Owner"/>
    <x:tableColumn id="12" name="Result / sourc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LinkedInLayersTable" displayName="LinkedInLayersTable" ref="A4:F10" headerRowCount="1" totalsRowCount="0" totalsRowShown="0">
  <x:tableColumns count="6">
    <x:tableColumn id="1" name="Data layer"/>
    <x:tableColumn id="2" name="What is available"/>
    <x:tableColumn id="3" name="Name-level access"/>
    <x:tableColumn id="4" name="Comparable CRM fields"/>
    <x:tableColumn id="5" name="Use in analysis"/>
    <x:tableColumn id="6" name="Key limitation / next action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LinkedInTaxonomyTable" displayName="LinkedInTaxonomyTable" ref="A13:F20" headerRowCount="1" totalsRowCount="0" totalsRowShown="0">
  <x:tableColumns count="6">
    <x:tableColumn id="1" name="Common taxonomy"/>
    <x:tableColumn id="2" name="Ukraine CRM field"/>
    <x:tableColumn id="3" name="LinkedIn analytics field"/>
    <x:tableColumn id="4" name="Comparison unit"/>
    <x:tableColumn id="5" name="Question answered"/>
    <x:tableColumn id="6" name="Rule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LinkedInInputsTable" displayName="LinkedInInputsTable" ref="A23:F28" headerRowCount="1" totalsRowCount="0" totalsRowShown="0">
  <x:tableColumns count="6">
    <x:tableColumn id="1" name="Required input"/>
    <x:tableColumn id="2" name="Who provides it"/>
    <x:tableColumn id="3" name="Format"/>
    <x:tableColumn id="4" name="Mandatory?"/>
    <x:tableColumn id="5" name="Purpose"/>
    <x:tableColumn id="6" name="Legal / practical condition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DataDictionaryTable" displayName="DataDictionaryTable" ref="A4:E24" headerRowCount="1" totalsRowCount="0" totalsRowShown="0">
  <x:tableColumns count="5">
    <x:tableColumn id="1" name="Field / concept"/>
    <x:tableColumn id="2" name="Definition"/>
    <x:tableColumn id="3" name="Allowed / expected values"/>
    <x:tableColumn id="4" name="How populated"/>
    <x:tableColumn id="5" name="Control rul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ReferenceSourcesTable" displayName="ReferenceSourcesTable" ref="A37:E42" headerRowCount="1" totalsRowCount="0" totalsRowShown="0">
  <x:tableColumns count="5">
    <x:tableColumn id="1" name="Reference"/>
    <x:tableColumn id="2" name="URL"/>
    <x:tableColumn id="3" name="Purpose"/>
    <x:tableColumn id="4" name="Snapshot / access date"/>
    <x:tableColumn id="5" name="No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49d0138b10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74042482d641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eaf0895d5f41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857b54ae2642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768c82944a45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599e8e15f04cda" /><Relationship Type="http://schemas.openxmlformats.org/officeDocument/2006/relationships/table" Target="/xl/tables/table7.xml" Id="Rfa92c5ae9bc24e4f" /><Relationship Type="http://schemas.openxmlformats.org/officeDocument/2006/relationships/table" Target="/xl/tables/table8.xml" Id="Rff917042b71346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68d22095ca3545c9" /><Relationship Type="http://schemas.openxmlformats.org/officeDocument/2006/relationships/table" Target="/xl/tables/table10.xml" Id="R1cd553243acf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55" hidden="0" customWidth="1"/>
    <x:col min="4" max="4" width="32" hidden="0" customWidth="1"/>
    <x:col min="5" max="5" width="15" hidden="0" customWidth="1"/>
    <x:col min="6" max="6" width="4" hidden="0" customWidth="1"/>
    <x:col min="7" max="7" width="31" hidden="0" customWidth="1"/>
    <x:col min="8" max="8" width="31" hidden="0" customWidth="1"/>
  </x:cols>
  <x:sheetData>
    <x:row r="1" ht="31" customHeight="1">
      <x:c r="A1" s="4" t="str">
        <x:v>ISRM Ukraine — Community CRM and Knowledge Map</x:v>
      </x:c>
      <x:c r="B1" s="4" t="str">
        <x:v>ISRM Ukraine — Community CRM and Knowledge Map</x:v>
      </x:c>
      <x:c r="C1" s="4" t="str">
        <x:v>ISRM Ukraine — Community CRM and Knowledge Map</x:v>
      </x:c>
      <x:c r="D1" s="4" t="str">
        <x:v>ISRM Ukraine — Community CRM and Knowledge Map</x:v>
      </x:c>
      <x:c r="E1" s="4" t="str">
        <x:v>ISRM Ukraine — Community CRM and Knowledge Map</x:v>
      </x:c>
      <x:c r="F1" s="4" t="str">
        <x:v>ISRM Ukraine — Community CRM and Knowledge Map</x:v>
      </x:c>
      <x:c r="G1" s="4" t="str">
        <x:v>ISRM Ukraine — Community CRM and Knowledge Map</x:v>
      </x:c>
      <x:c r="H1" s="4" t="str">
        <x:v>ISRM Ukraine — Community CRM and Knowledge Map</x:v>
      </x:c>
    </x:row>
    <x:row r="2" ht="28" customHeight="1">
      <x:c r="A2" s="16" t="str">
        <x:v>178 records • internal community management and research • CRM pilot designed for later comparison with official membership data and LinkedIn Page analytics</x:v>
      </x:c>
      <x:c r="B2" s="17" t="str">
        <x:v>178 records • internal community management and research • CRM pilot designed for later comparison with official membership data and LinkedIn Page analytics</x:v>
      </x:c>
      <x:c r="C2" s="17" t="str">
        <x:v>178 records • internal community management and research • CRM pilot designed for later comparison with official membership data and LinkedIn Page analytics</x:v>
      </x:c>
      <x:c r="D2" s="17" t="str">
        <x:v>178 records • internal community management and research • CRM pilot designed for later comparison with official membership data and LinkedIn Page analytics</x:v>
      </x:c>
      <x:c r="E2" s="17" t="str">
        <x:v>178 records • internal community management and research • CRM pilot designed for later comparison with official membership data and LinkedIn Page analytics</x:v>
      </x:c>
      <x:c r="F2" s="17" t="str">
        <x:v>178 records • internal community management and research • CRM pilot designed for later comparison with official membership data and LinkedIn Page analytics</x:v>
      </x:c>
      <x:c r="G2" s="17" t="str">
        <x:v>178 records • internal community management and research • CRM pilot designed for later comparison with official membership data and LinkedIn Page analytics</x:v>
      </x:c>
      <x:c r="H2" s="18" t="str">
        <x:v>178 records • internal community management and research • CRM pilot designed for later comparison with official membership data and LinkedIn Page analytics</x:v>
      </x:c>
    </x:row>
    <x:row r="4" ht="38" customHeight="1">
      <x:c r="A4" s="24" t="str">
        <x:v>CRM coverage</x:v>
      </x:c>
      <x:c r="B4" s="24" t="str">
        <x:v>Value</x:v>
      </x:c>
      <x:c r="D4" s="24" t="str">
        <x:v>Operational queues</x:v>
      </x:c>
      <x:c r="E4" s="24" t="str">
        <x:v>Value</x:v>
      </x:c>
      <x:c r="G4" s="24" t="str">
        <x:v>LinkedIn public snapshot</x:v>
      </x:c>
      <x:c r="H4" s="24" t="str">
        <x:v>Value</x:v>
      </x:c>
    </x:row>
    <x:row r="5">
      <x:c r="A5" s="29" t="str">
        <x:v>Total community records</x:v>
      </x:c>
      <x:c r="B5" s="30" t="n">
        <x:f>COUNTA('Community CRM'!$A$5:$A$182)</x:f>
        <x:v>178</x:v>
      </x:c>
      <x:c r="D5" s="29" t="str">
        <x:v>High-priority records</x:v>
      </x:c>
      <x:c r="E5" s="30" t="n">
        <x:f>COUNTIF('Community CRM'!$U$5:$U$182,"High")</x:f>
        <x:v>45</x:v>
      </x:c>
      <x:c r="G5" s="29" t="str">
        <x:v>Page followers</x:v>
      </x:c>
      <x:c r="H5" s="30" t="n">
        <x:v>8742</x:v>
      </x:c>
    </x:row>
    <x:row r="6">
      <x:c r="A6" s="29" t="str">
        <x:v>Verified identities</x:v>
      </x:c>
      <x:c r="B6" s="30" t="n">
        <x:f>COUNTIF('Community CRM'!$O$5:$O$182,"Confirmed")+COUNTIF('Community CRM'!$O$5:$O$182,"Confirmed — phone matched")</x:f>
        <x:v>45</x:v>
      </x:c>
      <x:c r="D6" s="29" t="str">
        <x:v>Engagement pipeline</x:v>
      </x:c>
      <x:c r="E6" s="30" t="n">
        <x:f>COUNTA('Engagement Pipeline'!$A$5:$A$200)</x:f>
        <x:v>89</x:v>
      </x:c>
      <x:c r="G6" s="29" t="str">
        <x:v>Associated employee profiles</x:v>
      </x:c>
      <x:c r="H6" s="30" t="n">
        <x:v>44</x:v>
      </x:c>
    </x:row>
    <x:row r="7">
      <x:c r="A7" s="29" t="str">
        <x:v>Usable named profiles</x:v>
      </x:c>
      <x:c r="B7" s="30" t="n">
        <x:f>COUNTIF('Community CRM'!$O$5:$O$182,"Confirmed")+COUNTIF('Community CRM'!$O$5:$O$182,"Confirmed — phone matched")+COUNTIF('Community CRM'!$O$5:$O$182,"Self-identified")+COUNTIF('Community CRM'!$O$5:$O$182,"Probable")</x:f>
        <x:v>83</x:v>
      </x:c>
      <x:c r="D7" s="29" t="str">
        <x:v>Research queue</x:v>
      </x:c>
      <x:c r="E7" s="30" t="n">
        <x:f>COUNTA('Research Queue'!$A$5:$A$200)</x:f>
        <x:v>133</x:v>
      </x:c>
      <x:c r="G7" s="29" t="str">
        <x:v>Global Chapters stated</x:v>
      </x:c>
      <x:c r="H7" s="30" t="n">
        <x:v>35</x:v>
      </x:c>
    </x:row>
    <x:row r="8">
      <x:c r="A8" s="29" t="str">
        <x:v>Partial profiles</x:v>
      </x:c>
      <x:c r="B8" s="30" t="n">
        <x:f>COUNTIF('Community CRM'!$O$5:$O$182,"Partial")</x:f>
        <x:v>57</x:v>
      </x:c>
      <x:c r="D8" s="29" t="str">
        <x:v>Direct prospects</x:v>
      </x:c>
      <x:c r="E8" s="30" t="n">
        <x:f>COUNTIF('Community CRM'!$S$5:$S$182,"Potential client")</x:f>
        <x:v>28</x:v>
      </x:c>
      <x:c r="G8" s="29" t="str">
        <x:v>Company-size setting</x:v>
      </x:c>
      <x:c r="H8" s="29" t="str">
        <x:v>10,001+ (not membership)</x:v>
      </x:c>
    </x:row>
    <x:row r="9">
      <x:c r="A9" s="29" t="str">
        <x:v>Unidentified profiles</x:v>
      </x:c>
      <x:c r="B9" s="30" t="n">
        <x:f>COUNTIF('Community CRM'!$O$5:$O$182,"Unidentified")</x:f>
        <x:v>38</x:v>
      </x:c>
      <x:c r="D9" s="29" t="str">
        <x:v>Partner / referral candidates</x:v>
      </x:c>
      <x:c r="E9" s="30" t="n">
        <x:f>COUNTIF('Community CRM'!$S$5:$S$182,"Potential partner / referral")</x:f>
        <x:v>17</x:v>
      </x:c>
      <x:c r="G9" s="29" t="str">
        <x:v>Follower names export</x:v>
      </x:c>
      <x:c r="H9" s="29" t="str">
        <x:v>Not available as a complete list</x:v>
      </x:c>
    </x:row>
    <x:row r="10">
      <x:c r="A10" s="29" t="str">
        <x:v>Organisation known</x:v>
      </x:c>
      <x:c r="B10" s="30" t="n">
        <x:f>COUNTIF('Community CRM'!$J$5:$J$182,"&lt;&gt;—")</x:f>
        <x:v>77</x:v>
      </x:c>
      <x:c r="D10" s="29" t="str">
        <x:v>Connectors</x:v>
      </x:c>
      <x:c r="E10" s="30" t="n">
        <x:f>COUNTIF('Community CRM'!$S$5:$S$182,"Connector / community multiplier")</x:f>
        <x:v>22</x:v>
      </x:c>
      <x:c r="G10" s="29" t="str">
        <x:v>Analytics export</x:v>
      </x:c>
      <x:c r="H10" s="29" t="str">
        <x:v>Aggregate XLS available to Page admins</x:v>
      </x:c>
    </x:row>
    <x:row r="11">
      <x:c r="A11" s="29" t="str">
        <x:v>LinkedIn profile linked</x:v>
      </x:c>
      <x:c r="B11" s="30" t="n">
        <x:f>COUNTA('Community CRM'!$M$5:$M$182)</x:f>
        <x:v>18</x:v>
      </x:c>
      <x:c r="D11" s="29" t="str">
        <x:v>Consent recorded</x:v>
      </x:c>
      <x:c r="E11" s="30" t="n">
        <x:f>COUNTIF('Community CRM'!$Z$5:$Z$182,"Permission*")</x:f>
        <x:v>0</x:v>
      </x:c>
      <x:c r="G11" s="29" t="str">
        <x:v>Snapshot date</x:v>
      </x:c>
      <x:c r="H11" s="32" t="n">
        <x:v>46262</x:v>
      </x:c>
    </x:row>
    <x:row r="12">
      <x:c r="A12" s="29" t="str">
        <x:v>Average data completeness</x:v>
      </x:c>
      <x:c r="B12" s="31" t="n">
        <x:f>AVERAGE('Community CRM'!$AE$5:$AE$182)</x:f>
        <x:v>0.367665418227217</x:v>
      </x:c>
      <x:c r="D12" s="29" t="str">
        <x:v>Verified profiles researched</x:v>
      </x:c>
      <x:c r="E12" s="30" t="n">
        <x:f>COUNTA('Verified 45 Research'!$A$5:$A$49)</x:f>
        <x:v>45</x:v>
      </x:c>
      <x:c r="G12" s="29" t="str">
        <x:v>Pilot comparison unit</x:v>
      </x:c>
      <x:c r="H12" s="29" t="str">
        <x:v>Country / sector / seniority / function</x:v>
      </x:c>
    </x:row>
    <x:row r="15">
      <x:c r="A15" s="33" t="str">
        <x:v>Operating model</x:v>
      </x:c>
      <x:c r="B15" s="33"/>
      <x:c r="C15" s="33"/>
      <x:c r="D15" s="33"/>
      <x:c r="E15" s="33"/>
      <x:c r="F15" s="33"/>
      <x:c r="G15" s="33"/>
      <x:c r="H15" s="33"/>
    </x:row>
    <x:row r="16">
      <x:c r="A16" s="35" t="str">
        <x:v>1</x:v>
      </x:c>
      <x:c r="B16" s="29" t="str">
        <x:v>Verify identity</x:v>
      </x:c>
      <x:c r="C16" s="29" t="str">
        <x:v>Confirm the person, organisation, role and public professional profile.</x:v>
      </x:c>
      <x:c r="D16" s="39" t="str">
        <x:v>PRIVACY: WhatsApp phone numbers and closed-group information are for internal CRM and verification only.</x:v>
      </x:c>
      <x:c r="E16" s="39"/>
      <x:c r="F16" s="39"/>
      <x:c r="G16" s="39"/>
      <x:c r="H16" s="39"/>
    </x:row>
    <x:row r="17">
      <x:c r="A17" s="35" t="str">
        <x:v>2</x:v>
      </x:c>
      <x:c r="B17" s="29" t="str">
        <x:v>Map expertise</x:v>
      </x:c>
      <x:c r="C17" s="29" t="str">
        <x:v>Record real experience, cases, lessons, international relevance and publication sensitivity.</x:v>
      </x:c>
      <x:c r="D17" s="39" t="str">
        <x:v>PUBLIC SOURCES: A public profile confirms a fact; it does not create permission for publication or bulk outreach.</x:v>
      </x:c>
      <x:c r="E17" s="39"/>
      <x:c r="F17" s="39"/>
      <x:c r="G17" s="39"/>
      <x:c r="H17" s="39"/>
    </x:row>
    <x:row r="18">
      <x:c r="A18" s="35" t="str">
        <x:v>3</x:v>
      </x:c>
      <x:c r="B18" s="29" t="str">
        <x:v>Engage the community</x:v>
      </x:c>
      <x:c r="C18" s="29" t="str">
        <x:v>Identify speakers, authors, trainers, mentors, chapter leaders, partners and potential clients.</x:v>
      </x:c>
      <x:c r="D18" s="39" t="str">
        <x:v>AI SUPPORT: AI may assist classification, drafting and analysis, but identity matching and publication require human review.</x:v>
      </x:c>
      <x:c r="E18" s="39"/>
      <x:c r="F18" s="39"/>
      <x:c r="G18" s="39"/>
      <x:c r="H18" s="39"/>
    </x:row>
    <x:row r="19">
      <x:c r="A19" s="35" t="str">
        <x:v>4</x:v>
      </x:c>
      <x:c r="B19" s="29" t="str">
        <x:v>Compare with LinkedIn</x:v>
      </x:c>
      <x:c r="C19" s="29" t="str">
        <x:v>Use the same country, sector, seniority and function taxonomy against aggregate Page analytics.</x:v>
      </x:c>
      <x:c r="D19" s="39" t="str">
        <x:v>EXPERTISE: 45 verified profiles now have public-source research; operational lessons still require interview validation and publication consent.</x:v>
      </x:c>
      <x:c r="E19" s="39"/>
      <x:c r="F19" s="39"/>
      <x:c r="G19" s="39"/>
      <x:c r="H19" s="39"/>
    </x:row>
    <x:row r="20">
      <x:c r="A20" s="35" t="str">
        <x:v>5</x:v>
      </x:c>
      <x:c r="B20" s="29" t="str">
        <x:v>Scale globally</x:v>
      </x:c>
      <x:c r="C20" s="29" t="str">
        <x:v>Apply the tested CRM schema to official ISRM membership data; do not treat followers as an identifiable member list.</x:v>
      </x:c>
      <x:c r="D20" s="39" t="str">
        <x:v>LINKEDIN: Use official Page exports and aggregate analytics; do not attempt to reconstruct a full follower list.</x:v>
      </x:c>
      <x:c r="E20" s="39"/>
      <x:c r="F20" s="39"/>
      <x:c r="G20" s="39"/>
      <x:c r="H20" s="39"/>
    </x:row>
  </x:sheetData>
  <x:mergeCells>
    <x:mergeCell ref="A1:H1"/>
    <x:mergeCell ref="A2:H2"/>
    <x:mergeCell ref="A15:H15"/>
    <x:mergeCell ref="D16:H16"/>
    <x:mergeCell ref="D17:H17"/>
    <x:mergeCell ref="D18:H18"/>
    <x:mergeCell ref="D19:H19"/>
    <x:mergeCell ref="D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6" hidden="0" customWidth="1"/>
    <x:col min="4" max="4" width="22" hidden="0" customWidth="1"/>
    <x:col min="5" max="5" width="29" hidden="0" customWidth="1"/>
    <x:col min="6" max="6" width="18" hidden="0" customWidth="1"/>
    <x:col min="7" max="7" width="22" hidden="0" customWidth="1"/>
    <x:col min="8" max="8" width="20" hidden="0" customWidth="1"/>
    <x:col min="9" max="9" width="17" hidden="0" customWidth="1"/>
    <x:col min="10" max="10" width="28" hidden="0" customWidth="1"/>
    <x:col min="11" max="11" width="31" hidden="0" customWidth="1"/>
    <x:col min="12" max="12" width="28" hidden="0" customWidth="1"/>
    <x:col min="13" max="13" width="48" hidden="0" customWidth="1"/>
    <x:col min="14" max="14" width="48" hidden="0" customWidth="1"/>
    <x:col min="15" max="15" width="24" hidden="0" customWidth="1"/>
    <x:col min="16" max="16" width="16" hidden="0" customWidth="1"/>
    <x:col min="17" max="17" width="12" hidden="0" customWidth="1"/>
    <x:col min="18" max="18" width="34" hidden="0" customWidth="1"/>
    <x:col min="19" max="19" width="31" hidden="0" customWidth="1"/>
    <x:col min="20" max="20" width="39" hidden="0" customWidth="1"/>
    <x:col min="21" max="21" width="11" hidden="0" customWidth="1"/>
    <x:col min="22" max="22" width="48" hidden="0" customWidth="1"/>
    <x:col min="23" max="23" width="48" hidden="0" customWidth="1"/>
    <x:col min="24" max="24" width="15" hidden="0" customWidth="1"/>
    <x:col min="25" max="25" width="14" hidden="0" customWidth="1"/>
    <x:col min="26" max="26" width="34" hidden="0" customWidth="1"/>
    <x:col min="27" max="27" width="43" hidden="0" customWidth="1"/>
    <x:col min="28" max="28" width="48" hidden="0" customWidth="1"/>
    <x:col min="29" max="29" width="29" hidden="0" customWidth="1"/>
    <x:col min="30" max="30" width="55" hidden="0" customWidth="1"/>
    <x:col min="31" max="31" width="16" hidden="0" customWidth="1"/>
  </x:cols>
  <x:sheetData>
    <x:row r="1" ht="31" customHeight="1">
      <x:c r="A1" s="4" t="str">
        <x:v>ISRM Ukraine — Community CRM Master Register (178 records)</x:v>
      </x:c>
      <x:c r="B1" s="4" t="str">
        <x:v>ISRM Ukraine — Community CRM Master Register (178 records)</x:v>
      </x:c>
      <x:c r="C1" s="4" t="str">
        <x:v>ISRM Ukraine — Community CRM Master Register (178 records)</x:v>
      </x:c>
      <x:c r="D1" s="4" t="str">
        <x:v>ISRM Ukraine — Community CRM Master Register (178 records)</x:v>
      </x:c>
      <x:c r="E1" s="4" t="str">
        <x:v>ISRM Ukraine — Community CRM Master Register (178 records)</x:v>
      </x:c>
      <x:c r="F1" s="4" t="str">
        <x:v>ISRM Ukraine — Community CRM Master Register (178 records)</x:v>
      </x:c>
      <x:c r="G1" s="4" t="str">
        <x:v>ISRM Ukraine — Community CRM Master Register (178 records)</x:v>
      </x:c>
      <x:c r="H1" s="4" t="str">
        <x:v>ISRM Ukraine — Community CRM Master Register (178 records)</x:v>
      </x:c>
      <x:c r="I1" s="4" t="str">
        <x:v>ISRM Ukraine — Community CRM Master Register (178 records)</x:v>
      </x:c>
      <x:c r="J1" s="4" t="str">
        <x:v>ISRM Ukraine — Community CRM Master Register (178 records)</x:v>
      </x:c>
      <x:c r="K1" s="4" t="str">
        <x:v>ISRM Ukraine — Community CRM Master Register (178 records)</x:v>
      </x:c>
      <x:c r="L1" s="4" t="str">
        <x:v>ISRM Ukraine — Community CRM Master Register (178 records)</x:v>
      </x:c>
      <x:c r="M1" s="4" t="str">
        <x:v>ISRM Ukraine — Community CRM Master Register (178 records)</x:v>
      </x:c>
      <x:c r="N1" s="4" t="str">
        <x:v>ISRM Ukraine — Community CRM Master Register (178 records)</x:v>
      </x:c>
      <x:c r="O1" s="4" t="str">
        <x:v>ISRM Ukraine — Community CRM Master Register (178 records)</x:v>
      </x:c>
      <x:c r="P1" s="4" t="str">
        <x:v>ISRM Ukraine — Community CRM Master Register (178 records)</x:v>
      </x:c>
      <x:c r="Q1" s="4" t="str">
        <x:v>ISRM Ukraine — Community CRM Master Register (178 records)</x:v>
      </x:c>
      <x:c r="R1" s="4" t="str">
        <x:v>ISRM Ukraine — Community CRM Master Register (178 records)</x:v>
      </x:c>
      <x:c r="S1" s="4" t="str">
        <x:v>ISRM Ukraine — Community CRM Master Register (178 records)</x:v>
      </x:c>
      <x:c r="T1" s="4" t="str">
        <x:v>ISRM Ukraine — Community CRM Master Register (178 records)</x:v>
      </x:c>
      <x:c r="U1" s="4" t="str">
        <x:v>ISRM Ukraine — Community CRM Master Register (178 records)</x:v>
      </x:c>
      <x:c r="V1" s="4" t="str">
        <x:v>ISRM Ukraine — Community CRM Master Register (178 records)</x:v>
      </x:c>
      <x:c r="W1" s="4" t="str">
        <x:v>ISRM Ukraine — Community CRM Master Register (178 records)</x:v>
      </x:c>
      <x:c r="X1" s="4" t="str">
        <x:v>ISRM Ukraine — Community CRM Master Register (178 records)</x:v>
      </x:c>
      <x:c r="Y1" s="4" t="str">
        <x:v>ISRM Ukraine — Community CRM Master Register (178 records)</x:v>
      </x:c>
      <x:c r="Z1" s="4" t="str">
        <x:v>ISRM Ukraine — Community CRM Master Register (178 records)</x:v>
      </x:c>
      <x:c r="AA1" s="4" t="str">
        <x:v>ISRM Ukraine — Community CRM Master Register (178 records)</x:v>
      </x:c>
      <x:c r="AB1" s="4" t="str">
        <x:v>ISRM Ukraine — Community CRM Master Register (178 records)</x:v>
      </x:c>
      <x:c r="AC1" s="4" t="str">
        <x:v>ISRM Ukraine — Community CRM Master Register (178 records)</x:v>
      </x:c>
      <x:c r="AD1" s="4" t="str">
        <x:v>ISRM Ukraine — Community CRM Master Register (178 records)</x:v>
      </x:c>
      <x:c r="AE1" s="4" t="str">
        <x:v>ISRM Ukraine — Community CRM Master Register (178 records)</x:v>
      </x:c>
    </x:row>
    <x:row r="2" ht="28" customHeight="1">
      <x:c r="A2" s="16" t="str">
        <x:v>Source record retained separately from verified identity • editable CRM fields use controlled values • experience-related conclusions remain subject to verification and consent</x:v>
      </x:c>
      <x:c r="B2" s="17" t="str">
        <x:v>Source record retained separately from verified identity • editable CRM fields use controlled values • experience-related conclusions remain subject to verification and consent</x:v>
      </x:c>
      <x:c r="C2" s="17" t="str">
        <x:v>Source record retained separately from verified identity • editable CRM fields use controlled values • experience-related conclusions remain subject to verification and consent</x:v>
      </x:c>
      <x:c r="D2" s="17" t="str">
        <x:v>Source record retained separately from verified identity • editable CRM fields use controlled values • experience-related conclusions remain subject to verification and consent</x:v>
      </x:c>
      <x:c r="E2" s="17" t="str">
        <x:v>Source record retained separately from verified identity • editable CRM fields use controlled values • experience-related conclusions remain subject to verification and consent</x:v>
      </x:c>
      <x:c r="F2" s="17" t="str">
        <x:v>Source record retained separately from verified identity • editable CRM fields use controlled values • experience-related conclusions remain subject to verification and consent</x:v>
      </x:c>
      <x:c r="G2" s="17" t="str">
        <x:v>Source record retained separately from verified identity • editable CRM fields use controlled values • experience-related conclusions remain subject to verification and consent</x:v>
      </x:c>
      <x:c r="H2" s="17" t="str">
        <x:v>Source record retained separately from verified identity • editable CRM fields use controlled values • experience-related conclusions remain subject to verification and consent</x:v>
      </x:c>
      <x:c r="I2" s="17" t="str">
        <x:v>Source record retained separately from verified identity • editable CRM fields use controlled values • experience-related conclusions remain subject to verification and consent</x:v>
      </x:c>
      <x:c r="J2" s="17" t="str">
        <x:v>Source record retained separately from verified identity • editable CRM fields use controlled values • experience-related conclusions remain subject to verification and consent</x:v>
      </x:c>
      <x:c r="K2" s="17" t="str">
        <x:v>Source record retained separately from verified identity • editable CRM fields use controlled values • experience-related conclusions remain subject to verification and consent</x:v>
      </x:c>
      <x:c r="L2" s="17" t="str">
        <x:v>Source record retained separately from verified identity • editable CRM fields use controlled values • experience-related conclusions remain subject to verification and consent</x:v>
      </x:c>
      <x:c r="M2" s="17" t="str">
        <x:v>Source record retained separately from verified identity • editable CRM fields use controlled values • experience-related conclusions remain subject to verification and consent</x:v>
      </x:c>
      <x:c r="N2" s="17" t="str">
        <x:v>Source record retained separately from verified identity • editable CRM fields use controlled values • experience-related conclusions remain subject to verification and consent</x:v>
      </x:c>
      <x:c r="O2" s="17" t="str">
        <x:v>Source record retained separately from verified identity • editable CRM fields use controlled values • experience-related conclusions remain subject to verification and consent</x:v>
      </x:c>
      <x:c r="P2" s="17" t="str">
        <x:v>Source record retained separately from verified identity • editable CRM fields use controlled values • experience-related conclusions remain subject to verification and consent</x:v>
      </x:c>
      <x:c r="Q2" s="17" t="str">
        <x:v>Source record retained separately from verified identity • editable CRM fields use controlled values • experience-related conclusions remain subject to verification and consent</x:v>
      </x:c>
      <x:c r="R2" s="17" t="str">
        <x:v>Source record retained separately from verified identity • editable CRM fields use controlled values • experience-related conclusions remain subject to verification and consent</x:v>
      </x:c>
      <x:c r="S2" s="17" t="str">
        <x:v>Source record retained separately from verified identity • editable CRM fields use controlled values • experience-related conclusions remain subject to verification and consent</x:v>
      </x:c>
      <x:c r="T2" s="17" t="str">
        <x:v>Source record retained separately from verified identity • editable CRM fields use controlled values • experience-related conclusions remain subject to verification and consent</x:v>
      </x:c>
      <x:c r="U2" s="17" t="str">
        <x:v>Source record retained separately from verified identity • editable CRM fields use controlled values • experience-related conclusions remain subject to verification and consent</x:v>
      </x:c>
      <x:c r="V2" s="17" t="str">
        <x:v>Source record retained separately from verified identity • editable CRM fields use controlled values • experience-related conclusions remain subject to verification and consent</x:v>
      </x:c>
      <x:c r="W2" s="17" t="str">
        <x:v>Source record retained separately from verified identity • editable CRM fields use controlled values • experience-related conclusions remain subject to verification and consent</x:v>
      </x:c>
      <x:c r="X2" s="17" t="str">
        <x:v>Source record retained separately from verified identity • editable CRM fields use controlled values • experience-related conclusions remain subject to verification and consent</x:v>
      </x:c>
      <x:c r="Y2" s="17" t="str">
        <x:v>Source record retained separately from verified identity • editable CRM fields use controlled values • experience-related conclusions remain subject to verification and consent</x:v>
      </x:c>
      <x:c r="Z2" s="17" t="str">
        <x:v>Source record retained separately from verified identity • editable CRM fields use controlled values • experience-related conclusions remain subject to verification and consent</x:v>
      </x:c>
      <x:c r="AA2" s="17" t="str">
        <x:v>Source record retained separately from verified identity • editable CRM fields use controlled values • experience-related conclusions remain subject to verification and consent</x:v>
      </x:c>
      <x:c r="AB2" s="17" t="str">
        <x:v>Source record retained separately from verified identity • editable CRM fields use controlled values • experience-related conclusions remain subject to verification and consent</x:v>
      </x:c>
      <x:c r="AC2" s="17" t="str">
        <x:v>Source record retained separately from verified identity • editable CRM fields use controlled values • experience-related conclusions remain subject to verification and consent</x:v>
      </x:c>
      <x:c r="AD2" s="17" t="str">
        <x:v>Source record retained separately from verified identity • editable CRM fields use controlled values • experience-related conclusions remain subject to verification and consent</x:v>
      </x:c>
      <x:c r="AE2" s="18" t="str">
        <x:v>Source record retained separately from verified identity • editable CRM fields use controlled values • experience-related conclusions remain subject to verification and consent</x:v>
      </x:c>
    </x:row>
    <x:row r="3" ht="22" customHeight="1">
      <x:c r="A3" s="44" t="str">
        <x:v>SOURCE</x:v>
      </x:c>
      <x:c r="B3" s="44" t="str">
        <x:v>SOURCE</x:v>
      </x:c>
      <x:c r="C3" s="44" t="str">
        <x:v>SOURCE</x:v>
      </x:c>
      <x:c r="D3" s="44" t="str">
        <x:v>IDENTITY &amp; LOCATION</x:v>
      </x:c>
      <x:c r="E3" s="44" t="str">
        <x:v>IDENTITY &amp; LOCATION</x:v>
      </x:c>
      <x:c r="F3" s="44" t="str">
        <x:v>IDENTITY &amp; LOCATION</x:v>
      </x:c>
      <x:c r="G3" s="44" t="str">
        <x:v>IDENTITY &amp; LOCATION</x:v>
      </x:c>
      <x:c r="H3" s="44" t="str">
        <x:v>IDENTITY &amp; LOCATION</x:v>
      </x:c>
      <x:c r="I3" s="44" t="str">
        <x:v>IDENTITY &amp; LOCATION</x:v>
      </x:c>
      <x:c r="J3" s="44" t="str">
        <x:v>PROFESSIONAL PROFILE</x:v>
      </x:c>
      <x:c r="K3" s="44" t="str">
        <x:v>PROFESSIONAL PROFILE</x:v>
      </x:c>
      <x:c r="L3" s="44" t="str">
        <x:v>PROFESSIONAL PROFILE</x:v>
      </x:c>
      <x:c r="M3" s="44" t="str">
        <x:v>PROFESSIONAL PROFILE</x:v>
      </x:c>
      <x:c r="N3" s="44" t="str">
        <x:v>PROFESSIONAL PROFILE</x:v>
      </x:c>
      <x:c r="O3" s="44" t="str">
        <x:v>VERIFICATION &amp; COMMUNITY</x:v>
      </x:c>
      <x:c r="P3" s="44" t="str">
        <x:v>VERIFICATION &amp; COMMUNITY</x:v>
      </x:c>
      <x:c r="Q3" s="44" t="str">
        <x:v>VERIFICATION &amp; COMMUNITY</x:v>
      </x:c>
      <x:c r="R3" s="44" t="str">
        <x:v>VERIFICATION &amp; COMMUNITY</x:v>
      </x:c>
      <x:c r="S3" s="44" t="str">
        <x:v>CRM CLASSIFICATION</x:v>
      </x:c>
      <x:c r="T3" s="44" t="str">
        <x:v>CRM CLASSIFICATION</x:v>
      </x:c>
      <x:c r="U3" s="44" t="str">
        <x:v>CRM CLASSIFICATION</x:v>
      </x:c>
      <x:c r="V3" s="44" t="str">
        <x:v>RELEVANCE &amp; ACTION</x:v>
      </x:c>
      <x:c r="W3" s="44" t="str">
        <x:v>RELEVANCE &amp; ACTION</x:v>
      </x:c>
      <x:c r="X3" s="44" t="str">
        <x:v>OWNERSHIP &amp; PRIVACY</x:v>
      </x:c>
      <x:c r="Y3" s="44" t="str">
        <x:v>OWNERSHIP &amp; PRIVACY</x:v>
      </x:c>
      <x:c r="Z3" s="44" t="str">
        <x:v>OWNERSHIP &amp; PRIVACY</x:v>
      </x:c>
      <x:c r="AA3" s="44" t="str">
        <x:v>OWNERSHIP &amp; PRIVACY</x:v>
      </x:c>
      <x:c r="AB3" s="44" t="str">
        <x:v>DISCOVERY &amp; QUALITY</x:v>
      </x:c>
      <x:c r="AC3" s="44" t="str">
        <x:v>DISCOVERY &amp; QUALITY</x:v>
      </x:c>
      <x:c r="AD3" s="44" t="str">
        <x:v>DISCOVERY &amp; QUALITY</x:v>
      </x:c>
      <x:c r="AE3" s="44" t="str">
        <x:v>DISCOVERY &amp; QUALITY</x:v>
      </x:c>
    </x:row>
    <x:row r="4" ht="38" customHeight="1">
      <x:c r="A4" s="24" t="str">
        <x:v>Record ID</x:v>
      </x:c>
      <x:c r="B4" s="24" t="str">
        <x:v>Source platform</x:v>
      </x:c>
      <x:c r="C4" s="24" t="str">
        <x:v>Chapter</x:v>
      </x:c>
      <x:c r="D4" s="24" t="str">
        <x:v>Original name</x:v>
      </x:c>
      <x:c r="E4" s="24" t="str">
        <x:v>Contact name</x:v>
      </x:c>
      <x:c r="F4" s="24" t="str">
        <x:v>Phone</x:v>
      </x:c>
      <x:c r="G4" s="24" t="str">
        <x:v>Phone-code country</x:v>
      </x:c>
      <x:c r="H4" s="24" t="str">
        <x:v>Professional country</x:v>
      </x:c>
      <x:c r="I4" s="24" t="str">
        <x:v>City</x:v>
      </x:c>
      <x:c r="J4" s="24" t="str">
        <x:v>Organisation</x:v>
      </x:c>
      <x:c r="K4" s="24" t="str">
        <x:v>Role</x:v>
      </x:c>
      <x:c r="L4" s="24" t="str">
        <x:v>Sector</x:v>
      </x:c>
      <x:c r="M4" s="24" t="str">
        <x:v>LinkedIn URL</x:v>
      </x:c>
      <x:c r="N4" s="24" t="str">
        <x:v>Other public source</x:v>
      </x:c>
      <x:c r="O4" s="24" t="str">
        <x:v>Identity status</x:v>
      </x:c>
      <x:c r="P4" s="24" t="str">
        <x:v>Confidence</x:v>
      </x:c>
      <x:c r="Q4" s="24" t="str">
        <x:v>Group admin</x:v>
      </x:c>
      <x:c r="R4" s="24" t="str">
        <x:v>Community role</x:v>
      </x:c>
      <x:c r="S4" s="24" t="str">
        <x:v>Relationship type</x:v>
      </x:c>
      <x:c r="T4" s="24" t="str">
        <x:v>CRM stage</x:v>
      </x:c>
      <x:c r="U4" s="24" t="str">
        <x:v>Priority</x:v>
      </x:c>
      <x:c r="V4" s="24" t="str">
        <x:v>F&amp;P / institutional relevance</x:v>
      </x:c>
      <x:c r="W4" s="24" t="str">
        <x:v>Next action</x:v>
      </x:c>
      <x:c r="X4" s="24" t="str">
        <x:v>Owner</x:v>
      </x:c>
      <x:c r="Y4" s="24" t="str">
        <x:v>Last verified</x:v>
      </x:c>
      <x:c r="Z4" s="24" t="str">
        <x:v>Consent / use status</x:v>
      </x:c>
      <x:c r="AA4" s="24" t="str">
        <x:v>Sensitivity</x:v>
      </x:c>
      <x:c r="AB4" s="24" t="str">
        <x:v>Expertise tags</x:v>
      </x:c>
      <x:c r="AC4" s="24" t="str">
        <x:v>WhatsApp status</x:v>
      </x:c>
      <x:c r="AD4" s="24" t="str">
        <x:v>Search key</x:v>
      </x:c>
      <x:c r="AE4" s="24" t="str">
        <x:v>Data completeness</x:v>
      </x:c>
    </x:row>
    <x:row r="5">
      <x:c r="A5" s="45" t="n">
        <x:v>1</x:v>
      </x:c>
      <x:c r="B5" s="29" t="str">
        <x:v>WhatsApp</x:v>
      </x:c>
      <x:c r="C5" s="29" t="str">
        <x:v>ISRM Ukraine</x:v>
      </x:c>
      <x:c r="D5" s="29" t="str">
        <x:v>J</x:v>
      </x:c>
      <x:c r="E5" s="29" t="str">
        <x:v>J (identity unresolved)</x:v>
      </x:c>
      <x:c r="F5" s="29" t="str">
        <x:v>‎+995595053175</x:v>
      </x:c>
      <x:c r="G5" s="29" t="str">
        <x:v>Georgia</x:v>
      </x:c>
      <x:c r="H5" s="29"/>
      <x:c r="I5" s="29"/>
      <x:c r="J5" s="29" t="str">
        <x:v>—</x:v>
      </x:c>
      <x:c r="K5" s="29" t="str">
        <x:v>—</x:v>
      </x:c>
      <x:c r="L5" s="29" t="str">
        <x:v>To classify</x:v>
      </x:c>
      <x:c r="M5" s="29"/>
      <x:c r="N5" s="29"/>
      <x:c r="O5" s="29" t="str">
        <x:v>Partial</x:v>
      </x:c>
      <x:c r="P5" s="29" t="str">
        <x:v>Low</x:v>
      </x:c>
      <x:c r="Q5" s="46" t="str">
        <x:v>No</x:v>
      </x:c>
      <x:c r="R5" s="29" t="str">
        <x:v>Member / participant</x:v>
      </x:c>
      <x:c r="S5" s="29" t="str">
        <x:v>Unqualified / research pending</x:v>
      </x:c>
      <x:c r="T5" s="29" t="str">
        <x:v>Identity completion pending</x:v>
      </x:c>
      <x:c r="U5" s="29" t="str">
        <x:v>Low</x:v>
      </x:c>
      <x:c r="V5" s="29" t="str">
        <x:v>No reliable commercial signal from the available data.</x:v>
      </x:c>
      <x:c r="W5" s="29" t="str">
        <x:v>Resolve identity and current role through a consensual group-admin or direct-message check before any outreach.</x:v>
      </x:c>
      <x:c r="X5" s="29" t="str">
        <x:v>Unassigned</x:v>
      </x:c>
      <x:c r="Y5" s="32" t="n">
        <x:v>46262</x:v>
      </x:c>
      <x:c r="Z5" s="29" t="str">
        <x:v>Not recorded — internal CRM only</x:v>
      </x:c>
      <x:c r="AA5" s="29" t="str">
        <x:v>Phone / closed-group source; human review required</x:v>
      </x:c>
      <x:c r="AB5" s="29" t="str">
        <x:v>Unqualified / research pending</x:v>
      </x:c>
      <x:c r="AC5" s="29" t="str"/>
      <x:c r="AD5" s="29" t="str">
        <x:f>E5&amp;" | "&amp;J5&amp;" | "&amp;K5&amp;" | "&amp;F5</x:f>
        <x:v>J (identity unresolved) | — | — | ‎+995595053175</x:v>
      </x:c>
      <x:c r="AE5" s="31" t="n">
        <x:f>(IF(OR(O5="Confirmed",O5="Confirmed — phone matched"),2,IF(OR(O5="Self-identified",O5="Probable"),1,0))+IF(J5&lt;&gt;"—",1,0)+IF(K5&lt;&gt;"—",1,0)+IF(L5&lt;&gt;"To classify",1,0)+IF(OR(M5&lt;&gt;"",N5&lt;&gt;""),1,0)+IF(H5&lt;&gt;"",1,0)+IF(AB5&lt;&gt;"",1,0)+IF(X5&lt;&gt;"Unassigned",1,0))/9</x:f>
        <x:v>0.1111111111111111</x:v>
      </x:c>
    </x:row>
    <x:row r="6">
      <x:c r="A6" s="45" t="n">
        <x:v>2</x:v>
      </x:c>
      <x:c r="B6" s="29" t="str">
        <x:v>WhatsApp</x:v>
      </x:c>
      <x:c r="C6" s="29" t="str">
        <x:v>ISRM Ukraine</x:v>
      </x:c>
      <x:c r="D6" s="29" t="str">
        <x:v>Jack</x:v>
      </x:c>
      <x:c r="E6" s="29" t="str">
        <x:v>Jack Ward Bleach</x:v>
      </x:c>
      <x:c r="F6" s="29" t="str">
        <x:v>‎+447714018861</x:v>
      </x:c>
      <x:c r="G6" s="29" t="str">
        <x:v>United Kingdom</x:v>
      </x:c>
      <x:c r="H6" s="29"/>
      <x:c r="I6" s="29"/>
      <x:c r="J6" s="29" t="str">
        <x:v>JB Risk Advisory Ltd</x:v>
      </x:c>
      <x:c r="K6" s="29" t="str">
        <x:v>Founder / risk adviser</x:v>
      </x:c>
      <x:c r="L6" s="29" t="str">
        <x:v>Security / risk / resilience</x:v>
      </x:c>
      <x:c r="M6" s="29"/>
      <x:c r="N6" s="29" t="str">
        <x:v>https://www.jbriskadvisory.co.uk/</x:v>
      </x:c>
      <x:c r="O6" s="29" t="str">
        <x:v>Probable</x:v>
      </x:c>
      <x:c r="P6" s="29" t="str">
        <x:v>Medium-high</x:v>
      </x:c>
      <x:c r="Q6" s="46" t="str">
        <x:v>No</x:v>
      </x:c>
      <x:c r="R6" s="29" t="str">
        <x:v>Institutional partner candidate</x:v>
      </x:c>
      <x:c r="S6" s="29" t="str">
        <x:v>Potential partner / referral</x:v>
      </x:c>
      <x:c r="T6" s="29" t="str">
        <x:v>Match verification pending</x:v>
      </x:c>
      <x:c r="U6" s="29" t="str">
        <x:v>High</x:v>
      </x:c>
      <x:c r="V6" s="29" t="str">
        <x:v>Boutique risk-advisory peer; potential consortium or referral partner.</x:v>
      </x:c>
      <x:c r="W6" s="29" t="str">
        <x:v>Verify by a short direct message, then propose a 30-minute capability exchange.</x:v>
      </x:c>
      <x:c r="X6" s="29" t="str">
        <x:v>Unassigned</x:v>
      </x:c>
      <x:c r="Y6" s="32" t="n">
        <x:v>46262</x:v>
      </x:c>
      <x:c r="Z6" s="29" t="str">
        <x:v>Not recorded — internal CRM only</x:v>
      </x:c>
      <x:c r="AA6" s="29" t="str">
        <x:v>Phone / closed-group source; human review required</x:v>
      </x:c>
      <x:c r="AB6" s="29" t="str">
        <x:v>Security / risk / resilience; Security, strategic risk and crisis management; Potential partner / referral</x:v>
      </x:c>
      <x:c r="AC6" s="29" t="str">
        <x:v>JB Risk Advisory Ltd</x:v>
      </x:c>
      <x:c r="AD6" s="29" t="str">
        <x:f>E6&amp;" | "&amp;J6&amp;" | "&amp;K6&amp;" | "&amp;F6</x:f>
        <x:v>Jack Ward Bleach | JB Risk Advisory Ltd | Founder / risk adviser | ‎+447714018861</x:v>
      </x:c>
      <x:c r="AE6" s="31" t="n">
        <x:f>(IF(OR(O6="Confirmed",O6="Confirmed — phone matched"),2,IF(OR(O6="Self-identified",O6="Probable"),1,0))+IF(J6&lt;&gt;"—",1,0)+IF(K6&lt;&gt;"—",1,0)+IF(L6&lt;&gt;"To classify",1,0)+IF(OR(M6&lt;&gt;"",N6&lt;&gt;""),1,0)+IF(H6&lt;&gt;"",1,0)+IF(AB6&lt;&gt;"",1,0)+IF(X6&lt;&gt;"Unassigned",1,0))/9</x:f>
        <x:v>0.6666666666666666</x:v>
      </x:c>
    </x:row>
    <x:row r="7">
      <x:c r="A7" s="45" t="n">
        <x:v>3</x:v>
      </x:c>
      <x:c r="B7" s="29" t="str">
        <x:v>WhatsApp</x:v>
      </x:c>
      <x:c r="C7" s="29" t="str">
        <x:v>ISRM Ukraine</x:v>
      </x:c>
      <x:c r="D7" s="29" t="str">
        <x:v>Jack Lakawitch</x:v>
      </x:c>
      <x:c r="E7" s="29" t="str">
        <x:v>Jack Lakawitch</x:v>
      </x:c>
      <x:c r="F7" s="29" t="str">
        <x:v>‎+380771046838</x:v>
      </x:c>
      <x:c r="G7" s="29" t="str">
        <x:v>Ukraine</x:v>
      </x:c>
      <x:c r="H7" s="29"/>
      <x:c r="I7" s="29"/>
      <x:c r="J7" s="29" t="str">
        <x:v>—</x:v>
      </x:c>
      <x:c r="K7" s="29" t="str">
        <x:v>—</x:v>
      </x:c>
      <x:c r="L7" s="29" t="str">
        <x:v>To classify</x:v>
      </x:c>
      <x:c r="M7" s="29"/>
      <x:c r="N7" s="29"/>
      <x:c r="O7" s="29" t="str">
        <x:v>Self-identified</x:v>
      </x:c>
      <x:c r="P7" s="29" t="str">
        <x:v>Medium</x:v>
      </x:c>
      <x:c r="Q7" s="46" t="str">
        <x:v>No</x:v>
      </x:c>
      <x:c r="R7" s="29" t="str">
        <x:v>Member / participant</x:v>
      </x:c>
      <x:c r="S7" s="29" t="str">
        <x:v>Member / verify</x:v>
      </x:c>
      <x:c r="T7" s="29" t="str">
        <x:v>Identity stated; professional verification pending</x:v>
      </x:c>
      <x:c r="U7" s="29" t="str">
        <x:v>Medium</x:v>
      </x:c>
      <x:c r="V7" s="29" t="str">
        <x:v>Named contact, but no reliable public professional match.</x:v>
      </x:c>
      <x:c r="W7" s="29" t="str">
        <x:v>Ask for current organization and remit before commercial outreach.</x:v>
      </x:c>
      <x:c r="X7" s="29" t="str">
        <x:v>Unassigned</x:v>
      </x:c>
      <x:c r="Y7" s="32" t="n">
        <x:v>46262</x:v>
      </x:c>
      <x:c r="Z7" s="29" t="str">
        <x:v>Not recorded — internal CRM only</x:v>
      </x:c>
      <x:c r="AA7" s="29" t="str">
        <x:v>Phone / closed-group source; human review required</x:v>
      </x:c>
      <x:c r="AB7" s="29" t="str">
        <x:v>Member / verify</x:v>
      </x:c>
      <x:c r="AC7" s="29" t="str"/>
      <x:c r="AD7" s="29" t="str">
        <x:f>E7&amp;" | "&amp;J7&amp;" | "&amp;K7&amp;" | "&amp;F7</x:f>
        <x:v>Jack Lakawitch | — | — | ‎+380771046838</x:v>
      </x:c>
      <x:c r="AE7" s="31" t="n">
        <x:f>(IF(OR(O7="Confirmed",O7="Confirmed — phone matched"),2,IF(OR(O7="Self-identified",O7="Probable"),1,0))+IF(J7&lt;&gt;"—",1,0)+IF(K7&lt;&gt;"—",1,0)+IF(L7&lt;&gt;"To classify",1,0)+IF(OR(M7&lt;&gt;"",N7&lt;&gt;""),1,0)+IF(H7&lt;&gt;"",1,0)+IF(AB7&lt;&gt;"",1,0)+IF(X7&lt;&gt;"Unassigned",1,0))/9</x:f>
        <x:v>0.2222222222222222</x:v>
      </x:c>
    </x:row>
    <x:row r="8">
      <x:c r="A8" s="45" t="n">
        <x:v>4</x:v>
      </x:c>
      <x:c r="B8" s="29" t="str">
        <x:v>WhatsApp</x:v>
      </x:c>
      <x:c r="C8" s="29" t="str">
        <x:v>ISRM Ukraine</x:v>
      </x:c>
      <x:c r="D8" s="29" t="str">
        <x:v>Jamie Macpherson</x:v>
      </x:c>
      <x:c r="E8" s="29" t="str">
        <x:v>Jamie Macpherson</x:v>
      </x:c>
      <x:c r="F8" s="29" t="str">
        <x:v>‎+447773286078</x:v>
      </x:c>
      <x:c r="G8" s="29" t="str">
        <x:v>United Kingdom</x:v>
      </x:c>
      <x:c r="H8" s="29"/>
      <x:c r="I8" s="29"/>
      <x:c r="J8" s="29" t="str">
        <x:v>Control Risks</x:v>
      </x:c>
      <x:c r="K8" s="29" t="str">
        <x:v>Country Director, Ukraine</x:v>
      </x:c>
      <x:c r="L8" s="29" t="str">
        <x:v>Security / risk / resilience</x:v>
      </x:c>
      <x:c r="M8" s="29" t="str">
        <x:v>https://ua.linkedin.com/in/jamie-macpherson-55a46515</x:v>
      </x:c>
      <x:c r="N8" s="29"/>
      <x:c r="O8" s="29" t="str">
        <x:v>Confirmed</x:v>
      </x:c>
      <x:c r="P8" s="29" t="str">
        <x:v>High</x:v>
      </x:c>
      <x:c r="Q8" s="46" t="str">
        <x:v>No</x:v>
      </x:c>
      <x:c r="R8" s="29" t="str">
        <x:v>Institutional partner candidate</x:v>
      </x:c>
      <x:c r="S8" s="29" t="str">
        <x:v>Potential partner / referral</x:v>
      </x:c>
      <x:c r="T8" s="29" t="str">
        <x:v>Verified profile</x:v>
      </x:c>
      <x:c r="U8" s="29" t="str">
        <x:v>High</x:v>
      </x:c>
      <x:c r="V8" s="29" t="str">
        <x:v>Senior Ukraine risk-market operator; useful for referrals, joint delivery and market intelligence.</x:v>
      </x:c>
      <x:c r="W8" s="29" t="str">
        <x:v>Warm senior-level introduction focused on complementary legal, investigations and market-entry support.</x:v>
      </x:c>
      <x:c r="X8" s="29" t="str">
        <x:v>Unassigned</x:v>
      </x:c>
      <x:c r="Y8" s="32" t="n">
        <x:v>46262</x:v>
      </x:c>
      <x:c r="Z8" s="29" t="str">
        <x:v>Not recorded — internal CRM only</x:v>
      </x:c>
      <x:c r="AA8" s="29" t="str">
        <x:v>Phone / closed-group source; human review required</x:v>
      </x:c>
      <x:c r="AB8" s="29" t="str">
        <x:v>Security / risk / resilience; Security, strategic risk and crisis management; Potential partner / referral</x:v>
      </x:c>
      <x:c r="AC8" s="29" t="str">
        <x:v>Jamie Macpherson</x:v>
      </x:c>
      <x:c r="AD8" s="29" t="str">
        <x:f>E8&amp;" | "&amp;J8&amp;" | "&amp;K8&amp;" | "&amp;F8</x:f>
        <x:v>Jamie Macpherson | Control Risks | Country Director, Ukraine | ‎+447773286078</x:v>
      </x:c>
      <x:c r="AE8" s="31" t="n">
        <x:f>(IF(OR(O8="Confirmed",O8="Confirmed — phone matched"),2,IF(OR(O8="Self-identified",O8="Probable"),1,0))+IF(J8&lt;&gt;"—",1,0)+IF(K8&lt;&gt;"—",1,0)+IF(L8&lt;&gt;"To classify",1,0)+IF(OR(M8&lt;&gt;"",N8&lt;&gt;""),1,0)+IF(H8&lt;&gt;"",1,0)+IF(AB8&lt;&gt;"",1,0)+IF(X8&lt;&gt;"Unassigned",1,0))/9</x:f>
        <x:v>0.7777777777777778</x:v>
      </x:c>
    </x:row>
    <x:row r="9">
      <x:c r="A9" s="45" t="n">
        <x:v>5</x:v>
      </x:c>
      <x:c r="B9" s="29" t="str">
        <x:v>WhatsApp</x:v>
      </x:c>
      <x:c r="C9" s="29" t="str">
        <x:v>ISRM Ukraine</x:v>
      </x:c>
      <x:c r="D9" s="29" t="str">
        <x:v>Jeff D</x:v>
      </x:c>
      <x:c r="E9" s="29" t="str">
        <x:v>Jeff D (identity unresolved)</x:v>
      </x:c>
      <x:c r="F9" s="29" t="str">
        <x:v>‎+33787313974</x:v>
      </x:c>
      <x:c r="G9" s="29" t="str">
        <x:v>France</x:v>
      </x:c>
      <x:c r="H9" s="29"/>
      <x:c r="I9" s="29"/>
      <x:c r="J9" s="29" t="str">
        <x:v>—</x:v>
      </x:c>
      <x:c r="K9" s="29" t="str">
        <x:v>—</x:v>
      </x:c>
      <x:c r="L9" s="29" t="str">
        <x:v>To classify</x:v>
      </x:c>
      <x:c r="M9" s="29"/>
      <x:c r="N9" s="29"/>
      <x:c r="O9" s="29" t="str">
        <x:v>Self-identified</x:v>
      </x:c>
      <x:c r="P9" s="29" t="str">
        <x:v>Medium</x:v>
      </x:c>
      <x:c r="Q9" s="46" t="str">
        <x:v>No</x:v>
      </x:c>
      <x:c r="R9" s="29" t="str">
        <x:v>Member / participant</x:v>
      </x:c>
      <x:c r="S9" s="29" t="str">
        <x:v>Unqualified / research pending</x:v>
      </x:c>
      <x:c r="T9" s="29" t="str">
        <x:v>Identity stated; professional verification pending</x:v>
      </x:c>
      <x:c r="U9" s="29" t="str">
        <x:v>Low</x:v>
      </x:c>
      <x:c r="V9" s="29" t="str">
        <x:v>No reliable commercial signal from the available data.</x:v>
      </x:c>
      <x:c r="W9" s="29" t="str">
        <x:v>Resolve identity and current role through a consensual group-admin or direct-message check before any outreach.</x:v>
      </x:c>
      <x:c r="X9" s="29" t="str">
        <x:v>Unassigned</x:v>
      </x:c>
      <x:c r="Y9" s="32" t="n">
        <x:v>46262</x:v>
      </x:c>
      <x:c r="Z9" s="29" t="str">
        <x:v>Not recorded — internal CRM only</x:v>
      </x:c>
      <x:c r="AA9" s="29" t="str">
        <x:v>Phone / closed-group source; human review required</x:v>
      </x:c>
      <x:c r="AB9" s="29" t="str">
        <x:v>Unqualified / research pending</x:v>
      </x:c>
      <x:c r="AC9" s="29" t="str"/>
      <x:c r="AD9" s="29" t="str">
        <x:f>E9&amp;" | "&amp;J9&amp;" | "&amp;K9&amp;" | "&amp;F9</x:f>
        <x:v>Jeff D (identity unresolved) | — | — | ‎+33787313974</x:v>
      </x:c>
      <x:c r="AE9" s="31" t="n">
        <x:f>(IF(OR(O9="Confirmed",O9="Confirmed — phone matched"),2,IF(OR(O9="Self-identified",O9="Probable"),1,0))+IF(J9&lt;&gt;"—",1,0)+IF(K9&lt;&gt;"—",1,0)+IF(L9&lt;&gt;"To classify",1,0)+IF(OR(M9&lt;&gt;"",N9&lt;&gt;""),1,0)+IF(H9&lt;&gt;"",1,0)+IF(AB9&lt;&gt;"",1,0)+IF(X9&lt;&gt;"Unassigned",1,0))/9</x:f>
        <x:v>0.2222222222222222</x:v>
      </x:c>
    </x:row>
    <x:row r="10">
      <x:c r="A10" s="45" t="n">
        <x:v>6</x:v>
      </x:c>
      <x:c r="B10" s="29" t="str">
        <x:v>WhatsApp</x:v>
      </x:c>
      <x:c r="C10" s="29" t="str">
        <x:v>ISRM Ukraine</x:v>
      </x:c>
      <x:c r="D10" s="29" t="str">
        <x:v>Jen Kosydar</x:v>
      </x:c>
      <x:c r="E10" s="29" t="str">
        <x:v>Jen Kosydar</x:v>
      </x:c>
      <x:c r="F10" s="29" t="str">
        <x:v>‎+17032949139</x:v>
      </x:c>
      <x:c r="G10" s="29" t="str">
        <x:v>United States / Canada</x:v>
      </x:c>
      <x:c r="H10" s="29"/>
      <x:c r="I10" s="29"/>
      <x:c r="J10" s="29" t="str">
        <x:v>Svitanok Global LLC</x:v>
      </x:c>
      <x:c r="K10" s="29" t="str">
        <x:v>Founder and Managing Director</x:v>
      </x:c>
      <x:c r="L10" s="29" t="str">
        <x:v>Business / advisory</x:v>
      </x:c>
      <x:c r="M10" s="29"/>
      <x:c r="N10" s="29" t="str">
        <x:v>https://www.svitanokglobal.com/about</x:v>
      </x:c>
      <x:c r="O10" s="29" t="str">
        <x:v>Confirmed</x:v>
      </x:c>
      <x:c r="P10" s="29" t="str">
        <x:v>High</x:v>
      </x:c>
      <x:c r="Q10" s="46" t="str">
        <x:v>No</x:v>
      </x:c>
      <x:c r="R10" s="29" t="str">
        <x:v>Member / participant</x:v>
      </x:c>
      <x:c r="S10" s="29" t="str">
        <x:v>Potential client</x:v>
      </x:c>
      <x:c r="T10" s="29" t="str">
        <x:v>Verified profile</x:v>
      </x:c>
      <x:c r="U10" s="29" t="str">
        <x:v>High</x:v>
      </x:c>
      <x:c r="V10" s="29" t="str">
        <x:v>Ukraine-focused advisory platform with likely needs in legal structuring, contracts and cross-border work.</x:v>
      </x:c>
      <x:c r="W10" s="29" t="str">
        <x:v>Offer a focused discussion on Ukraine entry, partner screening and legal risk.</x:v>
      </x:c>
      <x:c r="X10" s="29" t="str">
        <x:v>Unassigned</x:v>
      </x:c>
      <x:c r="Y10" s="32" t="n">
        <x:v>46262</x:v>
      </x:c>
      <x:c r="Z10" s="29" t="str">
        <x:v>Not recorded — internal CRM only</x:v>
      </x:c>
      <x:c r="AA10" s="29" t="str">
        <x:v>Phone / closed-group source; human review required</x:v>
      </x:c>
      <x:c r="AB10" s="29" t="str">
        <x:v>Business / advisory; Leadership, advisory and business continuity; Potential client</x:v>
      </x:c>
      <x:c r="AC10" s="29" t="str">
        <x:v>Svitanok Global LLC</x:v>
      </x:c>
      <x:c r="AD10" s="29" t="str">
        <x:f>E10&amp;" | "&amp;J10&amp;" | "&amp;K10&amp;" | "&amp;F10</x:f>
        <x:v>Jen Kosydar | Svitanok Global LLC | Founder and Managing Director | ‎+17032949139</x:v>
      </x:c>
      <x:c r="AE10" s="31" t="n">
        <x:f>(IF(OR(O10="Confirmed",O10="Confirmed — phone matched"),2,IF(OR(O10="Self-identified",O10="Probable"),1,0))+IF(J10&lt;&gt;"—",1,0)+IF(K10&lt;&gt;"—",1,0)+IF(L10&lt;&gt;"To classify",1,0)+IF(OR(M10&lt;&gt;"",N10&lt;&gt;""),1,0)+IF(H10&lt;&gt;"",1,0)+IF(AB10&lt;&gt;"",1,0)+IF(X10&lt;&gt;"Unassigned",1,0))/9</x:f>
        <x:v>0.7777777777777778</x:v>
      </x:c>
    </x:row>
    <x:row r="11">
      <x:c r="A11" s="45" t="n">
        <x:v>7</x:v>
      </x:c>
      <x:c r="B11" s="29" t="str">
        <x:v>WhatsApp</x:v>
      </x:c>
      <x:c r="C11" s="29" t="str">
        <x:v>ISRM Ukraine</x:v>
      </x:c>
      <x:c r="D11" s="29" t="str">
        <x:v>Jon</x:v>
      </x:c>
      <x:c r="E11" s="29" t="str">
        <x:v>Jon (surname unknown)</x:v>
      </x:c>
      <x:c r="F11" s="29" t="str">
        <x:v>‎+18089870387</x:v>
      </x:c>
      <x:c r="G11" s="29" t="str">
        <x:v>United States / Canada</x:v>
      </x:c>
      <x:c r="H11" s="29"/>
      <x:c r="I11" s="29"/>
      <x:c r="J11" s="29" t="str">
        <x:v>Vargar</x:v>
      </x:c>
      <x:c r="K11" s="29" t="str">
        <x:v>Managing Director</x:v>
      </x:c>
      <x:c r="L11" s="29" t="str">
        <x:v>Security / risk / resilience</x:v>
      </x:c>
      <x:c r="M11" s="29"/>
      <x:c r="N11" s="29"/>
      <x:c r="O11" s="29" t="str">
        <x:v>Partial</x:v>
      </x:c>
      <x:c r="P11" s="29" t="str">
        <x:v>Medium</x:v>
      </x:c>
      <x:c r="Q11" s="46" t="str">
        <x:v>No</x:v>
      </x:c>
      <x:c r="R11" s="29" t="str">
        <x:v>Member / participant</x:v>
      </x:c>
      <x:c r="S11" s="29" t="str">
        <x:v>Potential client</x:v>
      </x:c>
      <x:c r="T11" s="29" t="str">
        <x:v>Identity completion pending</x:v>
      </x:c>
      <x:c r="U11" s="29" t="str">
        <x:v>High</x:v>
      </x:c>
      <x:c r="V11" s="29" t="str">
        <x:v>Managing director of a risk/security business; credible buyer or delivery partner.</x:v>
      </x:c>
      <x:c r="W11" s="29" t="str">
        <x:v>Resolve surname and website, then approach with an F&amp;P capability note.</x:v>
      </x:c>
      <x:c r="X11" s="29" t="str">
        <x:v>Unassigned</x:v>
      </x:c>
      <x:c r="Y11" s="32" t="n">
        <x:v>46262</x:v>
      </x:c>
      <x:c r="Z11" s="29" t="str">
        <x:v>Not recorded — internal CRM only</x:v>
      </x:c>
      <x:c r="AA11" s="29" t="str">
        <x:v>Phone / closed-group source; human review required</x:v>
      </x:c>
      <x:c r="AB11" s="29" t="str">
        <x:v>Security / risk / resilience; Security, strategic risk and crisis management; Potential client</x:v>
      </x:c>
      <x:c r="AC11" s="29" t="str">
        <x:v>Managing Director of Vargar</x:v>
      </x:c>
      <x:c r="AD11" s="29" t="str">
        <x:f>E11&amp;" | "&amp;J11&amp;" | "&amp;K11&amp;" | "&amp;F11</x:f>
        <x:v>Jon (surname unknown) | Vargar | Managing Director | ‎+18089870387</x:v>
      </x:c>
      <x:c r="AE11" s="31" t="n">
        <x:f>(IF(OR(O11="Confirmed",O11="Confirmed — phone matched"),2,IF(OR(O11="Self-identified",O11="Probable"),1,0))+IF(J11&lt;&gt;"—",1,0)+IF(K11&lt;&gt;"—",1,0)+IF(L11&lt;&gt;"To classify",1,0)+IF(OR(M11&lt;&gt;"",N11&lt;&gt;""),1,0)+IF(H11&lt;&gt;"",1,0)+IF(AB11&lt;&gt;"",1,0)+IF(X11&lt;&gt;"Unassigned",1,0))/9</x:f>
        <x:v>0.4444444444444444</x:v>
      </x:c>
    </x:row>
    <x:row r="12">
      <x:c r="A12" s="45" t="n">
        <x:v>8</x:v>
      </x:c>
      <x:c r="B12" s="29" t="str">
        <x:v>WhatsApp</x:v>
      </x:c>
      <x:c r="C12" s="29" t="str">
        <x:v>ISRM Ukraine</x:v>
      </x:c>
      <x:c r="D12" s="29" t="str">
        <x:v>José M Pinto Teixeira</x:v>
      </x:c>
      <x:c r="E12" s="29" t="str">
        <x:v>José Manuel Pinto Teixeira</x:v>
      </x:c>
      <x:c r="F12" s="29" t="str">
        <x:v>‎+351918192191</x:v>
      </x:c>
      <x:c r="G12" s="29" t="str">
        <x:v>Portugal</x:v>
      </x:c>
      <x:c r="H12" s="29"/>
      <x:c r="I12" s="29"/>
      <x:c r="J12" s="29" t="str">
        <x:v>ECES / international governance sector</x:v>
      </x:c>
      <x:c r="K12" s="29" t="str">
        <x:v>Vice President; senior elections and governance expert</x:v>
      </x:c>
      <x:c r="L12" s="29" t="str">
        <x:v>Legal / governance / institutions</x:v>
      </x:c>
      <x:c r="M12" s="29"/>
      <x:c r="N12" s="29" t="str">
        <x:v>https://www.eces.eu/en/jose-manuel-pintoteixeira</x:v>
      </x:c>
      <x:c r="O12" s="29" t="str">
        <x:v>Confirmed</x:v>
      </x:c>
      <x:c r="P12" s="29" t="str">
        <x:v>High</x:v>
      </x:c>
      <x:c r="Q12" s="46" t="str">
        <x:v>No</x:v>
      </x:c>
      <x:c r="R12" s="29" t="str">
        <x:v>Connector / community multiplier</x:v>
      </x:c>
      <x:c r="S12" s="29" t="str">
        <x:v>Connector / community multiplier</x:v>
      </x:c>
      <x:c r="T12" s="29" t="str">
        <x:v>Verified profile</x:v>
      </x:c>
      <x:c r="U12" s="29" t="str">
        <x:v>Medium</x:v>
      </x:c>
      <x:c r="V12" s="29" t="str">
        <x:v>High-level international network and institutional access; stronger as connector than direct buyer.</x:v>
      </x:c>
      <x:c r="W12" s="29" t="str">
        <x:v>Request an introduction-led conversation around governance, compliance and Ukraine projects.</x:v>
      </x:c>
      <x:c r="X12" s="29" t="str">
        <x:v>Unassigned</x:v>
      </x:c>
      <x:c r="Y12" s="32" t="n">
        <x:v>46262</x:v>
      </x:c>
      <x:c r="Z12" s="29" t="str">
        <x:v>Not recorded — internal CRM only</x:v>
      </x:c>
      <x:c r="AA12" s="29" t="str">
        <x:v>Phone / closed-group source; human review required</x:v>
      </x:c>
      <x:c r="AB12" s="29" t="str">
        <x:v>Legal / governance / institutions; Governance, legal risk and institutional resilience; Connector / community multiplier</x:v>
      </x:c>
      <x:c r="AC12" s="29" t="str"/>
      <x:c r="AD12" s="29" t="str">
        <x:f>E12&amp;" | "&amp;J12&amp;" | "&amp;K12&amp;" | "&amp;F12</x:f>
        <x:v>José Manuel Pinto Teixeira | ECES / international governance sector | Vice President; senior elections and governance expert | ‎+351918192191</x:v>
      </x:c>
      <x:c r="AE12" s="31" t="n">
        <x:f>(IF(OR(O12="Confirmed",O12="Confirmed — phone matched"),2,IF(OR(O12="Self-identified",O12="Probable"),1,0))+IF(J12&lt;&gt;"—",1,0)+IF(K12&lt;&gt;"—",1,0)+IF(L12&lt;&gt;"To classify",1,0)+IF(OR(M12&lt;&gt;"",N12&lt;&gt;""),1,0)+IF(H12&lt;&gt;"",1,0)+IF(AB12&lt;&gt;"",1,0)+IF(X12&lt;&gt;"Unassigned",1,0))/9</x:f>
        <x:v>0.7777777777777778</x:v>
      </x:c>
    </x:row>
    <x:row r="13">
      <x:c r="A13" s="45" t="n">
        <x:v>9</x:v>
      </x:c>
      <x:c r="B13" s="29" t="str">
        <x:v>WhatsApp</x:v>
      </x:c>
      <x:c r="C13" s="29" t="str">
        <x:v>ISRM Ukraine</x:v>
      </x:c>
      <x:c r="D13" s="29" t="str">
        <x:v>JW</x:v>
      </x:c>
      <x:c r="E13" s="29" t="str">
        <x:v>John Jones</x:v>
      </x:c>
      <x:c r="F13" s="29" t="str">
        <x:v>‎+380973802525</x:v>
      </x:c>
      <x:c r="G13" s="29" t="str">
        <x:v>Ukraine</x:v>
      </x:c>
      <x:c r="H13" s="29"/>
      <x:c r="I13" s="29"/>
      <x:c r="J13" s="29" t="str">
        <x:v>Frishberg &amp; Partners / British-Ukrainian Chamber of Commerce</x:v>
      </x:c>
      <x:c r="K13" s="29" t="str">
        <x:v>Director of Business Development; BUCC Co-Chair</x:v>
      </x:c>
      <x:c r="L13" s="29" t="str">
        <x:v>Legal / governance / institutions</x:v>
      </x:c>
      <x:c r="M13" s="29" t="str">
        <x:v>https://ua.linkedin.com/in/john-jones-ba198a3</x:v>
      </x:c>
      <x:c r="N13" s="29"/>
      <x:c r="O13" s="29" t="str">
        <x:v>Confirmed</x:v>
      </x:c>
      <x:c r="P13" s="29" t="str">
        <x:v>High</x:v>
      </x:c>
      <x:c r="Q13" s="46" t="str">
        <x:v>Yes</x:v>
      </x:c>
      <x:c r="R13" s="29" t="str">
        <x:v>Group administrator / community organiser</x:v>
      </x:c>
      <x:c r="S13" s="29" t="str">
        <x:v>Internal / sponsor</x:v>
      </x:c>
      <x:c r="T13" s="29" t="str">
        <x:v>Verified profile</x:v>
      </x:c>
      <x:c r="U13" s="29" t="str">
        <x:v>Internal</x:v>
      </x:c>
      <x:c r="V13" s="29" t="str">
        <x:v>Already linked to F&amp;P; key route for validation and warm introductions across the list.</x:v>
      </x:c>
      <x:c r="W13" s="29" t="str">
        <x:v>Use as internal sponsor for contact validation and introductions; do not treat as a new prospect.</x:v>
      </x:c>
      <x:c r="X13" s="29" t="str">
        <x:v>Unassigned</x:v>
      </x:c>
      <x:c r="Y13" s="32" t="n">
        <x:v>46262</x:v>
      </x:c>
      <x:c r="Z13" s="29" t="str">
        <x:v>Not recorded — internal CRM only</x:v>
      </x:c>
      <x:c r="AA13" s="29" t="str">
        <x:v>Phone / closed-group source; human review required</x:v>
      </x:c>
      <x:c r="AB13" s="29" t="str">
        <x:v>Legal / governance / institutions; Governance, legal risk and institutional resilience; Internal / sponsor</x:v>
      </x:c>
      <x:c r="AC13" s="29" t="str">
        <x:v>John Jones-BUCC</x:v>
      </x:c>
      <x:c r="AD13" s="29" t="str">
        <x:f>E13&amp;" | "&amp;J13&amp;" | "&amp;K13&amp;" | "&amp;F13</x:f>
        <x:v>John Jones | Frishberg &amp; Partners / British-Ukrainian Chamber of Commerce | Director of Business Development; BUCC Co-Chair | ‎+380973802525</x:v>
      </x:c>
      <x:c r="AE13" s="31" t="n">
        <x:f>(IF(OR(O13="Confirmed",O13="Confirmed — phone matched"),2,IF(OR(O13="Self-identified",O13="Probable"),1,0))+IF(J13&lt;&gt;"—",1,0)+IF(K13&lt;&gt;"—",1,0)+IF(L13&lt;&gt;"To classify",1,0)+IF(OR(M13&lt;&gt;"",N13&lt;&gt;""),1,0)+IF(H13&lt;&gt;"",1,0)+IF(AB13&lt;&gt;"",1,0)+IF(X13&lt;&gt;"Unassigned",1,0))/9</x:f>
        <x:v>0.7777777777777778</x:v>
      </x:c>
    </x:row>
    <x:row r="14">
      <x:c r="A14" s="45" t="n">
        <x:v>10</x:v>
      </x:c>
      <x:c r="B14" s="29" t="str">
        <x:v>WhatsApp</x:v>
      </x:c>
      <x:c r="C14" s="29" t="str">
        <x:v>ISRM Ukraine</x:v>
      </x:c>
      <x:c r="D14" s="29" t="str">
        <x:v>Karina 🇺🇸🇺🇦</x:v>
      </x:c>
      <x:c r="E14" s="29" t="str">
        <x:v>Karina (surname unknown)</x:v>
      </x:c>
      <x:c r="F14" s="29" t="str">
        <x:v>‎+14436326600</x:v>
      </x:c>
      <x:c r="G14" s="29" t="str">
        <x:v>United States / Canada</x:v>
      </x:c>
      <x:c r="H14" s="29"/>
      <x:c r="I14" s="29"/>
      <x:c r="J14" s="29" t="str">
        <x:v>—</x:v>
      </x:c>
      <x:c r="K14" s="29" t="str">
        <x:v>—</x:v>
      </x:c>
      <x:c r="L14" s="29" t="str">
        <x:v>To classify</x:v>
      </x:c>
      <x:c r="M14" s="29"/>
      <x:c r="N14" s="29"/>
      <x:c r="O14" s="29" t="str">
        <x:v>Self-identified</x:v>
      </x:c>
      <x:c r="P14" s="29" t="str">
        <x:v>Medium</x:v>
      </x:c>
      <x:c r="Q14" s="46" t="str">
        <x:v>No</x:v>
      </x:c>
      <x:c r="R14" s="29" t="str">
        <x:v>Member / participant</x:v>
      </x:c>
      <x:c r="S14" s="29" t="str">
        <x:v>Unqualified / research pending</x:v>
      </x:c>
      <x:c r="T14" s="29" t="str">
        <x:v>Identity stated; professional verification pending</x:v>
      </x:c>
      <x:c r="U14" s="29" t="str">
        <x:v>Low</x:v>
      </x:c>
      <x:c r="V14" s="29" t="str">
        <x:v>No reliable commercial signal from the available data.</x:v>
      </x:c>
      <x:c r="W14" s="29" t="str">
        <x:v>Resolve identity and current role through a consensual group-admin or direct-message check before any outreach.</x:v>
      </x:c>
      <x:c r="X14" s="29" t="str">
        <x:v>Unassigned</x:v>
      </x:c>
      <x:c r="Y14" s="32" t="n">
        <x:v>46262</x:v>
      </x:c>
      <x:c r="Z14" s="29" t="str">
        <x:v>Not recorded — internal CRM only</x:v>
      </x:c>
      <x:c r="AA14" s="29" t="str">
        <x:v>Phone / closed-group source; human review required</x:v>
      </x:c>
      <x:c r="AB14" s="29" t="str">
        <x:v>Unqualified / research pending</x:v>
      </x:c>
      <x:c r="AC14" s="29" t="str"/>
      <x:c r="AD14" s="29" t="str">
        <x:f>E14&amp;" | "&amp;J14&amp;" | "&amp;K14&amp;" | "&amp;F14</x:f>
        <x:v>Karina (surname unknown) | — | — | ‎+14436326600</x:v>
      </x:c>
      <x:c r="AE14" s="31" t="n">
        <x:f>(IF(OR(O14="Confirmed",O14="Confirmed — phone matched"),2,IF(OR(O14="Self-identified",O14="Probable"),1,0))+IF(J14&lt;&gt;"—",1,0)+IF(K14&lt;&gt;"—",1,0)+IF(L14&lt;&gt;"To classify",1,0)+IF(OR(M14&lt;&gt;"",N14&lt;&gt;""),1,0)+IF(H14&lt;&gt;"",1,0)+IF(AB14&lt;&gt;"",1,0)+IF(X14&lt;&gt;"Unassigned",1,0))/9</x:f>
        <x:v>0.2222222222222222</x:v>
      </x:c>
    </x:row>
    <x:row r="15">
      <x:c r="A15" s="45" t="n">
        <x:v>11</x:v>
      </x:c>
      <x:c r="B15" s="29" t="str">
        <x:v>WhatsApp</x:v>
      </x:c>
      <x:c r="C15" s="29" t="str">
        <x:v>ISRM Ukraine</x:v>
      </x:c>
      <x:c r="D15" s="29" t="str">
        <x:v>Kateryna Panshyna</x:v>
      </x:c>
      <x:c r="E15" s="29" t="str">
        <x:v>Kateryna Panshyna</x:v>
      </x:c>
      <x:c r="F15" s="29" t="str">
        <x:v>‎+380664701077</x:v>
      </x:c>
      <x:c r="G15" s="29" t="str">
        <x:v>Ukraine</x:v>
      </x:c>
      <x:c r="H15" s="29"/>
      <x:c r="I15" s="29"/>
      <x:c r="J15" s="29" t="str">
        <x:v>—</x:v>
      </x:c>
      <x:c r="K15" s="29" t="str">
        <x:v>—</x:v>
      </x:c>
      <x:c r="L15" s="29" t="str">
        <x:v>To classify</x:v>
      </x:c>
      <x:c r="M15" s="29"/>
      <x:c r="N15" s="29"/>
      <x:c r="O15" s="29" t="str">
        <x:v>Self-identified</x:v>
      </x:c>
      <x:c r="P15" s="29" t="str">
        <x:v>Medium</x:v>
      </x:c>
      <x:c r="Q15" s="46" t="str">
        <x:v>No</x:v>
      </x:c>
      <x:c r="R15" s="29" t="str">
        <x:v>Member / participant</x:v>
      </x:c>
      <x:c r="S15" s="29" t="str">
        <x:v>Member / verify</x:v>
      </x:c>
      <x:c r="T15" s="29" t="str">
        <x:v>Identity stated; professional verification pending</x:v>
      </x:c>
      <x:c r="U15" s="29" t="str">
        <x:v>Medium</x:v>
      </x:c>
      <x:c r="V15" s="29" t="str">
        <x:v>Full name available, but professional identity remains unverified.</x:v>
      </x:c>
      <x:c r="W15" s="29" t="str">
        <x:v>Confirm organization and role through a direct message or shared-group introduction.</x:v>
      </x:c>
      <x:c r="X15" s="29" t="str">
        <x:v>Unassigned</x:v>
      </x:c>
      <x:c r="Y15" s="32" t="n">
        <x:v>46262</x:v>
      </x:c>
      <x:c r="Z15" s="29" t="str">
        <x:v>Not recorded — internal CRM only</x:v>
      </x:c>
      <x:c r="AA15" s="29" t="str">
        <x:v>Phone / closed-group source; human review required</x:v>
      </x:c>
      <x:c r="AB15" s="29" t="str">
        <x:v>Member / verify</x:v>
      </x:c>
      <x:c r="AC15" s="29" t="str"/>
      <x:c r="AD15" s="29" t="str">
        <x:f>E15&amp;" | "&amp;J15&amp;" | "&amp;K15&amp;" | "&amp;F15</x:f>
        <x:v>Kateryna Panshyna | — | — | ‎+380664701077</x:v>
      </x:c>
      <x:c r="AE15" s="31" t="n">
        <x:f>(IF(OR(O15="Confirmed",O15="Confirmed — phone matched"),2,IF(OR(O15="Self-identified",O15="Probable"),1,0))+IF(J15&lt;&gt;"—",1,0)+IF(K15&lt;&gt;"—",1,0)+IF(L15&lt;&gt;"To classify",1,0)+IF(OR(M15&lt;&gt;"",N15&lt;&gt;""),1,0)+IF(H15&lt;&gt;"",1,0)+IF(AB15&lt;&gt;"",1,0)+IF(X15&lt;&gt;"Unassigned",1,0))/9</x:f>
        <x:v>0.2222222222222222</x:v>
      </x:c>
    </x:row>
    <x:row r="16">
      <x:c r="A16" s="45" t="n">
        <x:v>12</x:v>
      </x:c>
      <x:c r="B16" s="29" t="str">
        <x:v>WhatsApp</x:v>
      </x:c>
      <x:c r="C16" s="29" t="str">
        <x:v>ISRM Ukraine</x:v>
      </x:c>
      <x:c r="D16" s="29" t="str">
        <x:v>Kateryna Repetska</x:v>
      </x:c>
      <x:c r="E16" s="29" t="str">
        <x:v>Kateryna Repetska</x:v>
      </x:c>
      <x:c r="F16" s="29" t="str">
        <x:v>‎+380950966871</x:v>
      </x:c>
      <x:c r="G16" s="29" t="str">
        <x:v>Ukraine</x:v>
      </x:c>
      <x:c r="H16" s="29"/>
      <x:c r="I16" s="29"/>
      <x:c r="J16" s="29" t="str">
        <x:v>INSO Ukraine</x:v>
      </x:c>
      <x:c r="K16" s="29" t="str">
        <x:v>Training Officer</x:v>
      </x:c>
      <x:c r="L16" s="29" t="str">
        <x:v>Security / risk / resilience</x:v>
      </x:c>
      <x:c r="M16" s="29"/>
      <x:c r="N16" s="29" t="str">
        <x:v>https://www.ngosafety.org/</x:v>
      </x:c>
      <x:c r="O16" s="29" t="str">
        <x:v>Self-identified</x:v>
      </x:c>
      <x:c r="P16" s="29" t="str">
        <x:v>Medium-high</x:v>
      </x:c>
      <x:c r="Q16" s="46" t="str">
        <x:v>No</x:v>
      </x:c>
      <x:c r="R16" s="29" t="str">
        <x:v>Connector / community multiplier</x:v>
      </x:c>
      <x:c r="S16" s="29" t="str">
        <x:v>Connector / community multiplier</x:v>
      </x:c>
      <x:c r="T16" s="29" t="str">
        <x:v>Identity stated; professional verification pending</x:v>
      </x:c>
      <x:c r="U16" s="29" t="str">
        <x:v>Medium</x:v>
      </x:c>
      <x:c r="V16" s="29" t="str">
        <x:v>INSO training role gives access to NGO security community and operational demand signals.</x:v>
      </x:c>
      <x:c r="W16" s="29" t="str">
        <x:v>Explore training/legal-risk collaboration and ask for referral to decision-makers.</x:v>
      </x:c>
      <x:c r="X16" s="29" t="str">
        <x:v>Unassigned</x:v>
      </x:c>
      <x:c r="Y16" s="32" t="n">
        <x:v>46262</x:v>
      </x:c>
      <x:c r="Z16" s="29" t="str">
        <x:v>Not recorded — internal CRM only</x:v>
      </x:c>
      <x:c r="AA16" s="29" t="str">
        <x:v>Phone / closed-group source; human review required</x:v>
      </x:c>
      <x:c r="AB16" s="29" t="str">
        <x:v>Security / risk / resilience; Security, strategic risk and crisis management; Connector / community multiplier</x:v>
      </x:c>
      <x:c r="AC16" s="29" t="str">
        <x:v>Training Officer, INSO Ukraine</x:v>
      </x:c>
      <x:c r="AD16" s="29" t="str">
        <x:f>E16&amp;" | "&amp;J16&amp;" | "&amp;K16&amp;" | "&amp;F16</x:f>
        <x:v>Kateryna Repetska | INSO Ukraine | Training Officer | ‎+380950966871</x:v>
      </x:c>
      <x:c r="AE16" s="31" t="n">
        <x:f>(IF(OR(O16="Confirmed",O16="Confirmed — phone matched"),2,IF(OR(O16="Self-identified",O16="Probable"),1,0))+IF(J16&lt;&gt;"—",1,0)+IF(K16&lt;&gt;"—",1,0)+IF(L16&lt;&gt;"To classify",1,0)+IF(OR(M16&lt;&gt;"",N16&lt;&gt;""),1,0)+IF(H16&lt;&gt;"",1,0)+IF(AB16&lt;&gt;"",1,0)+IF(X16&lt;&gt;"Unassigned",1,0))/9</x:f>
        <x:v>0.6666666666666666</x:v>
      </x:c>
    </x:row>
    <x:row r="17">
      <x:c r="A17" s="45" t="n">
        <x:v>13</x:v>
      </x:c>
      <x:c r="B17" s="29" t="str">
        <x:v>WhatsApp</x:v>
      </x:c>
      <x:c r="C17" s="29" t="str">
        <x:v>ISRM Ukraine</x:v>
      </x:c>
      <x:c r="D17" s="29" t="str">
        <x:v>Kerry</x:v>
      </x:c>
      <x:c r="E17" s="29" t="str">
        <x:v>Kerry (surname unknown)</x:v>
      </x:c>
      <x:c r="F17" s="29" t="str">
        <x:v>‎+380689001013</x:v>
      </x:c>
      <x:c r="G17" s="29" t="str">
        <x:v>Ukraine</x:v>
      </x:c>
      <x:c r="H17" s="29"/>
      <x:c r="I17" s="29"/>
      <x:c r="J17" s="29" t="str">
        <x:v>—</x:v>
      </x:c>
      <x:c r="K17" s="29" t="str">
        <x:v>—</x:v>
      </x:c>
      <x:c r="L17" s="29" t="str">
        <x:v>To classify</x:v>
      </x:c>
      <x:c r="M17" s="29"/>
      <x:c r="N17" s="29"/>
      <x:c r="O17" s="29" t="str">
        <x:v>Partial</x:v>
      </x:c>
      <x:c r="P17" s="29" t="str">
        <x:v>Low</x:v>
      </x:c>
      <x:c r="Q17" s="46" t="str">
        <x:v>No</x:v>
      </x:c>
      <x:c r="R17" s="29" t="str">
        <x:v>Member / participant</x:v>
      </x:c>
      <x:c r="S17" s="29" t="str">
        <x:v>Unqualified / research pending</x:v>
      </x:c>
      <x:c r="T17" s="29" t="str">
        <x:v>Identity completion pending</x:v>
      </x:c>
      <x:c r="U17" s="29" t="str">
        <x:v>Low</x:v>
      </x:c>
      <x:c r="V17" s="29" t="str">
        <x:v>No reliable commercial signal from the available data.</x:v>
      </x:c>
      <x:c r="W17" s="29" t="str">
        <x:v>Resolve identity and current role through a consensual group-admin or direct-message check before any outreach.</x:v>
      </x:c>
      <x:c r="X17" s="29" t="str">
        <x:v>Unassigned</x:v>
      </x:c>
      <x:c r="Y17" s="32" t="n">
        <x:v>46262</x:v>
      </x:c>
      <x:c r="Z17" s="29" t="str">
        <x:v>Not recorded — internal CRM only</x:v>
      </x:c>
      <x:c r="AA17" s="29" t="str">
        <x:v>Phone / closed-group source; human review required</x:v>
      </x:c>
      <x:c r="AB17" s="29" t="str">
        <x:v>Unqualified / research pending</x:v>
      </x:c>
      <x:c r="AC17" s="29" t="str"/>
      <x:c r="AD17" s="29" t="str">
        <x:f>E17&amp;" | "&amp;J17&amp;" | "&amp;K17&amp;" | "&amp;F17</x:f>
        <x:v>Kerry (surname unknown) | — | — | ‎+380689001013</x:v>
      </x:c>
      <x:c r="AE17" s="31" t="n">
        <x:f>(IF(OR(O17="Confirmed",O17="Confirmed — phone matched"),2,IF(OR(O17="Self-identified",O17="Probable"),1,0))+IF(J17&lt;&gt;"—",1,0)+IF(K17&lt;&gt;"—",1,0)+IF(L17&lt;&gt;"To classify",1,0)+IF(OR(M17&lt;&gt;"",N17&lt;&gt;""),1,0)+IF(H17&lt;&gt;"",1,0)+IF(AB17&lt;&gt;"",1,0)+IF(X17&lt;&gt;"Unassigned",1,0))/9</x:f>
        <x:v>0.1111111111111111</x:v>
      </x:c>
    </x:row>
    <x:row r="18">
      <x:c r="A18" s="45" t="n">
        <x:v>14</x:v>
      </x:c>
      <x:c r="B18" s="29" t="str">
        <x:v>WhatsApp</x:v>
      </x:c>
      <x:c r="C18" s="29" t="str">
        <x:v>ISRM Ukraine</x:v>
      </x:c>
      <x:c r="D18" s="29" t="str">
        <x:v>Kristina</x:v>
      </x:c>
      <x:c r="E18" s="29" t="str">
        <x:v>Kristina (surname unknown)</x:v>
      </x:c>
      <x:c r="F18" s="29" t="str">
        <x:v>‎+380936697799</x:v>
      </x:c>
      <x:c r="G18" s="29" t="str">
        <x:v>Ukraine</x:v>
      </x:c>
      <x:c r="H18" s="29"/>
      <x:c r="I18" s="29"/>
      <x:c r="J18" s="29" t="str">
        <x:v>—</x:v>
      </x:c>
      <x:c r="K18" s="29" t="str">
        <x:v>—</x:v>
      </x:c>
      <x:c r="L18" s="29" t="str">
        <x:v>To classify</x:v>
      </x:c>
      <x:c r="M18" s="29"/>
      <x:c r="N18" s="29"/>
      <x:c r="O18" s="29" t="str">
        <x:v>Partial</x:v>
      </x:c>
      <x:c r="P18" s="29" t="str">
        <x:v>Low</x:v>
      </x:c>
      <x:c r="Q18" s="46" t="str">
        <x:v>No</x:v>
      </x:c>
      <x:c r="R18" s="29" t="str">
        <x:v>Member / participant</x:v>
      </x:c>
      <x:c r="S18" s="29" t="str">
        <x:v>Unqualified / research pending</x:v>
      </x:c>
      <x:c r="T18" s="29" t="str">
        <x:v>Identity completion pending</x:v>
      </x:c>
      <x:c r="U18" s="29" t="str">
        <x:v>Low</x:v>
      </x:c>
      <x:c r="V18" s="29" t="str">
        <x:v>No reliable commercial signal from the available data.</x:v>
      </x:c>
      <x:c r="W18" s="29" t="str">
        <x:v>Resolve identity and current role through a consensual group-admin or direct-message check before any outreach.</x:v>
      </x:c>
      <x:c r="X18" s="29" t="str">
        <x:v>Unassigned</x:v>
      </x:c>
      <x:c r="Y18" s="32" t="n">
        <x:v>46262</x:v>
      </x:c>
      <x:c r="Z18" s="29" t="str">
        <x:v>Not recorded — internal CRM only</x:v>
      </x:c>
      <x:c r="AA18" s="29" t="str">
        <x:v>Phone / closed-group source; human review required</x:v>
      </x:c>
      <x:c r="AB18" s="29" t="str">
        <x:v>Unqualified / research pending</x:v>
      </x:c>
      <x:c r="AC18" s="29" t="str"/>
      <x:c r="AD18" s="29" t="str">
        <x:f>E18&amp;" | "&amp;J18&amp;" | "&amp;K18&amp;" | "&amp;F18</x:f>
        <x:v>Kristina (surname unknown) | — | — | ‎+380936697799</x:v>
      </x:c>
      <x:c r="AE18" s="31" t="n">
        <x:f>(IF(OR(O18="Confirmed",O18="Confirmed — phone matched"),2,IF(OR(O18="Self-identified",O18="Probable"),1,0))+IF(J18&lt;&gt;"—",1,0)+IF(K18&lt;&gt;"—",1,0)+IF(L18&lt;&gt;"To classify",1,0)+IF(OR(M18&lt;&gt;"",N18&lt;&gt;""),1,0)+IF(H18&lt;&gt;"",1,0)+IF(AB18&lt;&gt;"",1,0)+IF(X18&lt;&gt;"Unassigned",1,0))/9</x:f>
        <x:v>0.1111111111111111</x:v>
      </x:c>
    </x:row>
    <x:row r="19">
      <x:c r="A19" s="45" t="n">
        <x:v>15</x:v>
      </x:c>
      <x:c r="B19" s="29" t="str">
        <x:v>WhatsApp</x:v>
      </x:c>
      <x:c r="C19" s="29" t="str">
        <x:v>ISRM Ukraine</x:v>
      </x:c>
      <x:c r="D19" s="29" t="str">
        <x:v>Kseniia</x:v>
      </x:c>
      <x:c r="E19" s="29" t="str">
        <x:v>Kseniia (surname unknown)</x:v>
      </x:c>
      <x:c r="F19" s="29" t="str">
        <x:v>‎+380508506403</x:v>
      </x:c>
      <x:c r="G19" s="29" t="str">
        <x:v>Ukraine</x:v>
      </x:c>
      <x:c r="H19" s="29"/>
      <x:c r="I19" s="29"/>
      <x:c r="J19" s="29" t="str">
        <x:v>AMAU / Risoil</x:v>
      </x:c>
      <x:c r="K19" s="29" t="str">
        <x:v>CEO, AMAU; adviser at Risoil</x:v>
      </x:c>
      <x:c r="L19" s="29" t="str">
        <x:v>Energy / infrastructure / logistics</x:v>
      </x:c>
      <x:c r="M19" s="29"/>
      <x:c r="N19" s="29" t="str">
        <x:v>https://risoil.com/en/home-english/</x:v>
      </x:c>
      <x:c r="O19" s="29" t="str">
        <x:v>Partial</x:v>
      </x:c>
      <x:c r="P19" s="29" t="str">
        <x:v>Medium-high</x:v>
      </x:c>
      <x:c r="Q19" s="46" t="str">
        <x:v>No</x:v>
      </x:c>
      <x:c r="R19" s="29" t="str">
        <x:v>Member / participant</x:v>
      </x:c>
      <x:c r="S19" s="29" t="str">
        <x:v>Potential client</x:v>
      </x:c>
      <x:c r="T19" s="29" t="str">
        <x:v>Identity completion pending</x:v>
      </x:c>
      <x:c r="U19" s="29" t="str">
        <x:v>High</x:v>
      </x:c>
      <x:c r="V19" s="29" t="str">
        <x:v>Executive/adviser profile suggests corporate and trade-related legal needs.</x:v>
      </x:c>
      <x:c r="W19" s="29" t="str">
        <x:v>Resolve surname and validate current roles before a tailored corporate/compliance approach.</x:v>
      </x:c>
      <x:c r="X19" s="29" t="str">
        <x:v>Unassigned</x:v>
      </x:c>
      <x:c r="Y19" s="32" t="n">
        <x:v>46262</x:v>
      </x:c>
      <x:c r="Z19" s="29" t="str">
        <x:v>Not recorded — internal CRM only</x:v>
      </x:c>
      <x:c r="AA19" s="29" t="str">
        <x:v>Phone / closed-group source; human review required</x:v>
      </x:c>
      <x:c r="AB19" s="29" t="str">
        <x:v>Energy / infrastructure / logistics; Critical infrastructure and operational continuity; Potential client</x:v>
      </x:c>
      <x:c r="AC19" s="29" t="str">
        <x:v>CEO AMAU, Advisor at Risoil</x:v>
      </x:c>
      <x:c r="AD19" s="29" t="str">
        <x:f>E19&amp;" | "&amp;J19&amp;" | "&amp;K19&amp;" | "&amp;F19</x:f>
        <x:v>Kseniia (surname unknown) | AMAU / Risoil | CEO, AMAU; adviser at Risoil | ‎+380508506403</x:v>
      </x:c>
      <x:c r="AE19" s="31" t="n">
        <x:f>(IF(OR(O19="Confirmed",O19="Confirmed — phone matched"),2,IF(OR(O19="Self-identified",O19="Probable"),1,0))+IF(J19&lt;&gt;"—",1,0)+IF(K19&lt;&gt;"—",1,0)+IF(L19&lt;&gt;"To classify",1,0)+IF(OR(M19&lt;&gt;"",N19&lt;&gt;""),1,0)+IF(H19&lt;&gt;"",1,0)+IF(AB19&lt;&gt;"",1,0)+IF(X19&lt;&gt;"Unassigned",1,0))/9</x:f>
        <x:v>0.5555555555555556</x:v>
      </x:c>
    </x:row>
    <x:row r="20">
      <x:c r="A20" s="45" t="n">
        <x:v>16</x:v>
      </x:c>
      <x:c r="B20" s="29" t="str">
        <x:v>WhatsApp</x:v>
      </x:c>
      <x:c r="C20" s="29" t="str">
        <x:v>ISRM Ukraine</x:v>
      </x:c>
      <x:c r="D20" s="29" t="str">
        <x:v>Kseniia Kluban</x:v>
      </x:c>
      <x:c r="E20" s="29" t="str">
        <x:v>Kseniia Pidruchna (profile also uses Kluban)</x:v>
      </x:c>
      <x:c r="F20" s="29" t="str">
        <x:v>‎+380937760684</x:v>
      </x:c>
      <x:c r="G20" s="29" t="str">
        <x:v>Ukraine</x:v>
      </x:c>
      <x:c r="H20" s="29"/>
      <x:c r="I20" s="29"/>
      <x:c r="J20" s="29" t="str">
        <x:v>ISRM Ukraine</x:v>
      </x:c>
      <x:c r="K20" s="29" t="str">
        <x:v>Women in Strategic Risk lead</x:v>
      </x:c>
      <x:c r="L20" s="29" t="str">
        <x:v>Security / risk / resilience</x:v>
      </x:c>
      <x:c r="M20" s="29"/>
      <x:c r="N20" s="29" t="str">
        <x:v>https://www.theisrm.org/international-chapters/ukraine-chapter/</x:v>
      </x:c>
      <x:c r="O20" s="29" t="str">
        <x:v>Confirmed</x:v>
      </x:c>
      <x:c r="P20" s="29" t="str">
        <x:v>High</x:v>
      </x:c>
      <x:c r="Q20" s="46" t="str">
        <x:v>No</x:v>
      </x:c>
      <x:c r="R20" s="29" t="str">
        <x:v>Chapter team / community organiser</x:v>
      </x:c>
      <x:c r="S20" s="29" t="str">
        <x:v>Connector / community multiplier</x:v>
      </x:c>
      <x:c r="T20" s="29" t="str">
        <x:v>Verified profile</x:v>
      </x:c>
      <x:c r="U20" s="29" t="str">
        <x:v>Medium</x:v>
      </x:c>
      <x:c r="V20" s="29" t="str">
        <x:v>Strong connector into women-in-security, risk and ISRM networks.</x:v>
      </x:c>
      <x:c r="W20" s="29" t="str">
        <x:v>Coordinate through ISRM context and seek introductions to corporate security buyers.</x:v>
      </x:c>
      <x:c r="X20" s="29" t="str">
        <x:v>Unassigned</x:v>
      </x:c>
      <x:c r="Y20" s="32" t="n">
        <x:v>46262</x:v>
      </x:c>
      <x:c r="Z20" s="29" t="str">
        <x:v>Not recorded — internal CRM only</x:v>
      </x:c>
      <x:c r="AA20" s="29" t="str">
        <x:v>Phone / closed-group source; human review required</x:v>
      </x:c>
      <x:c r="AB20" s="29" t="str">
        <x:v>Security / risk / resilience; Security, strategic risk and crisis management; Connector / community multiplier</x:v>
      </x:c>
      <x:c r="AC20" s="29" t="str"/>
      <x:c r="AD20" s="29" t="str">
        <x:f>E20&amp;" | "&amp;J20&amp;" | "&amp;K20&amp;" | "&amp;F20</x:f>
        <x:v>Kseniia Pidruchna (profile also uses Kluban) | ISRM Ukraine | Women in Strategic Risk lead | ‎+380937760684</x:v>
      </x:c>
      <x:c r="AE20" s="31" t="n">
        <x:f>(IF(OR(O20="Confirmed",O20="Confirmed — phone matched"),2,IF(OR(O20="Self-identified",O20="Probable"),1,0))+IF(J20&lt;&gt;"—",1,0)+IF(K20&lt;&gt;"—",1,0)+IF(L20&lt;&gt;"To classify",1,0)+IF(OR(M20&lt;&gt;"",N20&lt;&gt;""),1,0)+IF(H20&lt;&gt;"",1,0)+IF(AB20&lt;&gt;"",1,0)+IF(X20&lt;&gt;"Unassigned",1,0))/9</x:f>
        <x:v>0.7777777777777778</x:v>
      </x:c>
    </x:row>
    <x:row r="21">
      <x:c r="A21" s="45" t="n">
        <x:v>17</x:v>
      </x:c>
      <x:c r="B21" s="29" t="str">
        <x:v>WhatsApp</x:v>
      </x:c>
      <x:c r="C21" s="29" t="str">
        <x:v>ISRM Ukraine</x:v>
      </x:c>
      <x:c r="D21" s="29" t="str">
        <x:v>Larysa</x:v>
      </x:c>
      <x:c r="E21" s="29" t="str">
        <x:v>Larysa Zomchak</x:v>
      </x:c>
      <x:c r="F21" s="29" t="str">
        <x:v>‎+380956001823</x:v>
      </x:c>
      <x:c r="G21" s="29" t="str">
        <x:v>Ukraine</x:v>
      </x:c>
      <x:c r="H21" s="29"/>
      <x:c r="I21" s="29"/>
      <x:c r="J21" s="29" t="str">
        <x:v>Ivan Franko National University of Lviv</x:v>
      </x:c>
      <x:c r="K21" s="29" t="str">
        <x:v>Associate Professor</x:v>
      </x:c>
      <x:c r="L21" s="29" t="str">
        <x:v>Academia / research</x:v>
      </x:c>
      <x:c r="M21" s="29"/>
      <x:c r="N21" s="29" t="str">
        <x:v>https://www.researchgate.net/profile/Larysa-Zomchak</x:v>
      </x:c>
      <x:c r="O21" s="29" t="str">
        <x:v>Confirmed</x:v>
      </x:c>
      <x:c r="P21" s="29" t="str">
        <x:v>High</x:v>
      </x:c>
      <x:c r="Q21" s="46" t="str">
        <x:v>No</x:v>
      </x:c>
      <x:c r="R21" s="29" t="str">
        <x:v>Member / participant</x:v>
      </x:c>
      <x:c r="S21" s="29" t="str">
        <x:v>Member / verify</x:v>
      </x:c>
      <x:c r="T21" s="29" t="str">
        <x:v>Verified profile</x:v>
      </x:c>
      <x:c r="U21" s="29" t="str">
        <x:v>Medium</x:v>
      </x:c>
      <x:c r="V21" s="29" t="str">
        <x:v>Academic and analytical network; useful for research and referrals, limited direct buying signal.</x:v>
      </x:c>
      <x:c r="W21" s="29" t="str">
        <x:v>Maintain as expert/connector; approach only with a defined research or policy topic.</x:v>
      </x:c>
      <x:c r="X21" s="29" t="str">
        <x:v>Unassigned</x:v>
      </x:c>
      <x:c r="Y21" s="32" t="n">
        <x:v>46262</x:v>
      </x:c>
      <x:c r="Z21" s="29" t="str">
        <x:v>Not recorded — internal CRM only</x:v>
      </x:c>
      <x:c r="AA21" s="29" t="str">
        <x:v>Phone / closed-group source; human review required</x:v>
      </x:c>
      <x:c r="AB21" s="29" t="str">
        <x:v>Academia / research; Research, education and knowledge transfer; Member / verify</x:v>
      </x:c>
      <x:c r="AC21" s="29" t="str">
        <x:v>Larysa Zomchak, dr.,prof.IFNUL</x:v>
      </x:c>
      <x:c r="AD21" s="29" t="str">
        <x:f>E21&amp;" | "&amp;J21&amp;" | "&amp;K21&amp;" | "&amp;F21</x:f>
        <x:v>Larysa Zomchak | Ivan Franko National University of Lviv | Associate Professor | ‎+380956001823</x:v>
      </x:c>
      <x:c r="AE21" s="31" t="n">
        <x:f>(IF(OR(O21="Confirmed",O21="Confirmed — phone matched"),2,IF(OR(O21="Self-identified",O21="Probable"),1,0))+IF(J21&lt;&gt;"—",1,0)+IF(K21&lt;&gt;"—",1,0)+IF(L21&lt;&gt;"To classify",1,0)+IF(OR(M21&lt;&gt;"",N21&lt;&gt;""),1,0)+IF(H21&lt;&gt;"",1,0)+IF(AB21&lt;&gt;"",1,0)+IF(X21&lt;&gt;"Unassigned",1,0))/9</x:f>
        <x:v>0.7777777777777778</x:v>
      </x:c>
    </x:row>
    <x:row r="22">
      <x:c r="A22" s="45" t="n">
        <x:v>18</x:v>
      </x:c>
      <x:c r="B22" s="29" t="str">
        <x:v>WhatsApp</x:v>
      </x:c>
      <x:c r="C22" s="29" t="str">
        <x:v>ISRM Ukraine</x:v>
      </x:c>
      <x:c r="D22" s="29" t="str">
        <x:v>Leonid</x:v>
      </x:c>
      <x:c r="E22" s="29" t="str">
        <x:v>Leonid (surname unknown)</x:v>
      </x:c>
      <x:c r="F22" s="29" t="str">
        <x:v>‎+380633912463</x:v>
      </x:c>
      <x:c r="G22" s="29" t="str">
        <x:v>Ukraine</x:v>
      </x:c>
      <x:c r="H22" s="29"/>
      <x:c r="I22" s="29"/>
      <x:c r="J22" s="29" t="str">
        <x:v>—</x:v>
      </x:c>
      <x:c r="K22" s="29" t="str">
        <x:v>—</x:v>
      </x:c>
      <x:c r="L22" s="29" t="str">
        <x:v>To classify</x:v>
      </x:c>
      <x:c r="M22" s="29"/>
      <x:c r="N22" s="29"/>
      <x:c r="O22" s="29" t="str">
        <x:v>Partial</x:v>
      </x:c>
      <x:c r="P22" s="29" t="str">
        <x:v>Low</x:v>
      </x:c>
      <x:c r="Q22" s="46" t="str">
        <x:v>No</x:v>
      </x:c>
      <x:c r="R22" s="29" t="str">
        <x:v>Member / participant</x:v>
      </x:c>
      <x:c r="S22" s="29" t="str">
        <x:v>Unqualified / research pending</x:v>
      </x:c>
      <x:c r="T22" s="29" t="str">
        <x:v>Identity completion pending</x:v>
      </x:c>
      <x:c r="U22" s="29" t="str">
        <x:v>Low</x:v>
      </x:c>
      <x:c r="V22" s="29" t="str">
        <x:v>No reliable commercial signal from the available data.</x:v>
      </x:c>
      <x:c r="W22" s="29" t="str">
        <x:v>Resolve identity and current role through a consensual group-admin or direct-message check before any outreach.</x:v>
      </x:c>
      <x:c r="X22" s="29" t="str">
        <x:v>Unassigned</x:v>
      </x:c>
      <x:c r="Y22" s="32" t="n">
        <x:v>46262</x:v>
      </x:c>
      <x:c r="Z22" s="29" t="str">
        <x:v>Not recorded — internal CRM only</x:v>
      </x:c>
      <x:c r="AA22" s="29" t="str">
        <x:v>Phone / closed-group source; human review required</x:v>
      </x:c>
      <x:c r="AB22" s="29" t="str">
        <x:v>Unqualified / research pending</x:v>
      </x:c>
      <x:c r="AC22" s="29" t="str"/>
      <x:c r="AD22" s="29" t="str">
        <x:f>E22&amp;" | "&amp;J22&amp;" | "&amp;K22&amp;" | "&amp;F22</x:f>
        <x:v>Leonid (surname unknown) | — | — | ‎+380633912463</x:v>
      </x:c>
      <x:c r="AE22" s="31" t="n">
        <x:f>(IF(OR(O22="Confirmed",O22="Confirmed — phone matched"),2,IF(OR(O22="Self-identified",O22="Probable"),1,0))+IF(J22&lt;&gt;"—",1,0)+IF(K22&lt;&gt;"—",1,0)+IF(L22&lt;&gt;"To classify",1,0)+IF(OR(M22&lt;&gt;"",N22&lt;&gt;""),1,0)+IF(H22&lt;&gt;"",1,0)+IF(AB22&lt;&gt;"",1,0)+IF(X22&lt;&gt;"Unassigned",1,0))/9</x:f>
        <x:v>0.1111111111111111</x:v>
      </x:c>
    </x:row>
    <x:row r="23">
      <x:c r="A23" s="45" t="n">
        <x:v>19</x:v>
      </x:c>
      <x:c r="B23" s="29" t="str">
        <x:v>WhatsApp</x:v>
      </x:c>
      <x:c r="C23" s="29" t="str">
        <x:v>ISRM Ukraine</x:v>
      </x:c>
      <x:c r="D23" s="29" t="str">
        <x:v>Lloyd</x:v>
      </x:c>
      <x:c r="E23" s="29" t="str">
        <x:v>Lloyd Green</x:v>
      </x:c>
      <x:c r="F23" s="29" t="str">
        <x:v>‎+447866105392</x:v>
      </x:c>
      <x:c r="G23" s="29" t="str">
        <x:v>United Kingdom</x:v>
      </x:c>
      <x:c r="H23" s="29"/>
      <x:c r="I23" s="29"/>
      <x:c r="J23" s="29" t="str">
        <x:v>Media HRA (as stated)</x:v>
      </x:c>
      <x:c r="K23" s="29" t="str">
        <x:v>Media/HRA professional; exact remit unclear</x:v>
      </x:c>
      <x:c r="L23" s="29" t="str">
        <x:v>Media / communications</x:v>
      </x:c>
      <x:c r="M23" s="29"/>
      <x:c r="N23" s="29"/>
      <x:c r="O23" s="29" t="str">
        <x:v>Self-identified</x:v>
      </x:c>
      <x:c r="P23" s="29" t="str">
        <x:v>Medium</x:v>
      </x:c>
      <x:c r="Q23" s="46" t="str">
        <x:v>No</x:v>
      </x:c>
      <x:c r="R23" s="29" t="str">
        <x:v>Member / participant</x:v>
      </x:c>
      <x:c r="S23" s="29" t="str">
        <x:v>Member / verify</x:v>
      </x:c>
      <x:c r="T23" s="29" t="str">
        <x:v>Identity stated; professional verification pending</x:v>
      </x:c>
      <x:c r="U23" s="29" t="str">
        <x:v>Medium</x:v>
      </x:c>
      <x:c r="V23" s="29" t="str">
        <x:v>Potential media or human-rights access, but commercial fit is unclear.</x:v>
      </x:c>
      <x:c r="W23" s="29" t="str">
        <x:v>Clarify organization, title and current Ukraine activity.</x:v>
      </x:c>
      <x:c r="X23" s="29" t="str">
        <x:v>Unassigned</x:v>
      </x:c>
      <x:c r="Y23" s="32" t="n">
        <x:v>46262</x:v>
      </x:c>
      <x:c r="Z23" s="29" t="str">
        <x:v>Not recorded — internal CRM only</x:v>
      </x:c>
      <x:c r="AA23" s="29" t="str">
        <x:v>Phone / closed-group source; human review required</x:v>
      </x:c>
      <x:c r="AB23" s="29" t="str">
        <x:v>Media / communications; Crisis communications and information environment; Member / verify</x:v>
      </x:c>
      <x:c r="AC23" s="29" t="str">
        <x:v>Lloyd Green Media HRA</x:v>
      </x:c>
      <x:c r="AD23" s="29" t="str">
        <x:f>E23&amp;" | "&amp;J23&amp;" | "&amp;K23&amp;" | "&amp;F23</x:f>
        <x:v>Lloyd Green | Media HRA (as stated) | Media/HRA professional; exact remit unclear | ‎+447866105392</x:v>
      </x:c>
      <x:c r="AE23" s="31" t="n">
        <x:f>(IF(OR(O23="Confirmed",O23="Confirmed — phone matched"),2,IF(OR(O23="Self-identified",O23="Probable"),1,0))+IF(J23&lt;&gt;"—",1,0)+IF(K23&lt;&gt;"—",1,0)+IF(L23&lt;&gt;"To classify",1,0)+IF(OR(M23&lt;&gt;"",N23&lt;&gt;""),1,0)+IF(H23&lt;&gt;"",1,0)+IF(AB23&lt;&gt;"",1,0)+IF(X23&lt;&gt;"Unassigned",1,0))/9</x:f>
        <x:v>0.5555555555555556</x:v>
      </x:c>
    </x:row>
    <x:row r="24">
      <x:c r="A24" s="45" t="n">
        <x:v>20</x:v>
      </x:c>
      <x:c r="B24" s="29" t="str">
        <x:v>WhatsApp</x:v>
      </x:c>
      <x:c r="C24" s="29" t="str">
        <x:v>ISRM Ukraine</x:v>
      </x:c>
      <x:c r="D24" s="29" t="str">
        <x:v>Lloydy</x:v>
      </x:c>
      <x:c r="E24" s="29" t="str">
        <x:v>Lloyd Widdup</x:v>
      </x:c>
      <x:c r="F24" s="29" t="str">
        <x:v>‎+447984594125</x:v>
      </x:c>
      <x:c r="G24" s="29" t="str">
        <x:v>United Kingdom</x:v>
      </x:c>
      <x:c r="H24" s="29"/>
      <x:c r="I24" s="29"/>
      <x:c r="J24" s="29" t="str">
        <x:v>Independent / NGO advisory</x:v>
      </x:c>
      <x:c r="K24" s="29" t="str">
        <x:v>Close protection and NGO security adviser</x:v>
      </x:c>
      <x:c r="L24" s="29" t="str">
        <x:v>Humanitarian / NGO</x:v>
      </x:c>
      <x:c r="M24" s="29" t="str">
        <x:v>https://uk.linkedin.com/in/lloyd-widdup-7abb2416a</x:v>
      </x:c>
      <x:c r="N24" s="29"/>
      <x:c r="O24" s="29" t="str">
        <x:v>Confirmed</x:v>
      </x:c>
      <x:c r="P24" s="29" t="str">
        <x:v>High</x:v>
      </x:c>
      <x:c r="Q24" s="46" t="str">
        <x:v>No</x:v>
      </x:c>
      <x:c r="R24" s="29" t="str">
        <x:v>Institutional partner candidate</x:v>
      </x:c>
      <x:c r="S24" s="29" t="str">
        <x:v>Potential partner / referral</x:v>
      </x:c>
      <x:c r="T24" s="29" t="str">
        <x:v>Verified profile</x:v>
      </x:c>
      <x:c r="U24" s="29" t="str">
        <x:v>High</x:v>
      </x:c>
      <x:c r="V24" s="29" t="str">
        <x:v>Operational security specialist who may need legal/compliance support or refer clients.</x:v>
      </x:c>
      <x:c r="W24" s="29" t="str">
        <x:v>Offer reciprocal referrals and legal backstop for security engagements.</x:v>
      </x:c>
      <x:c r="X24" s="29" t="str">
        <x:v>Unassigned</x:v>
      </x:c>
      <x:c r="Y24" s="32" t="n">
        <x:v>46262</x:v>
      </x:c>
      <x:c r="Z24" s="29" t="str">
        <x:v>Not recorded — internal CRM only</x:v>
      </x:c>
      <x:c r="AA24" s="29" t="str">
        <x:v>Phone / closed-group source; human review required</x:v>
      </x:c>
      <x:c r="AB24" s="29" t="str">
        <x:v>Humanitarian / NGO; Humanitarian security and duty of care; Potential partner / referral</x:v>
      </x:c>
      <x:c r="AC24" s="29" t="str">
        <x:v>Lloyd Widdup NGO advisor + CPO</x:v>
      </x:c>
      <x:c r="AD24" s="29" t="str">
        <x:f>E24&amp;" | "&amp;J24&amp;" | "&amp;K24&amp;" | "&amp;F24</x:f>
        <x:v>Lloyd Widdup | Independent / NGO advisory | Close protection and NGO security adviser | ‎+447984594125</x:v>
      </x:c>
      <x:c r="AE24" s="31" t="n">
        <x:f>(IF(OR(O24="Confirmed",O24="Confirmed — phone matched"),2,IF(OR(O24="Self-identified",O24="Probable"),1,0))+IF(J24&lt;&gt;"—",1,0)+IF(K24&lt;&gt;"—",1,0)+IF(L24&lt;&gt;"To classify",1,0)+IF(OR(M24&lt;&gt;"",N24&lt;&gt;""),1,0)+IF(H24&lt;&gt;"",1,0)+IF(AB24&lt;&gt;"",1,0)+IF(X24&lt;&gt;"Unassigned",1,0))/9</x:f>
        <x:v>0.7777777777777778</x:v>
      </x:c>
    </x:row>
    <x:row r="25">
      <x:c r="A25" s="45" t="n">
        <x:v>21</x:v>
      </x:c>
      <x:c r="B25" s="29" t="str">
        <x:v>WhatsApp</x:v>
      </x:c>
      <x:c r="C25" s="29" t="str">
        <x:v>ISRM Ukraine</x:v>
      </x:c>
      <x:c r="D25" s="29" t="str">
        <x:v>Lorenzo</x:v>
      </x:c>
      <x:c r="E25" s="29" t="str">
        <x:v>Lorenzo (surname unknown)</x:v>
      </x:c>
      <x:c r="F25" s="29" t="str">
        <x:v>‎+393494519264</x:v>
      </x:c>
      <x:c r="G25" s="29" t="str">
        <x:v>Italy</x:v>
      </x:c>
      <x:c r="H25" s="29"/>
      <x:c r="I25" s="29"/>
      <x:c r="J25" s="29" t="str">
        <x:v>—</x:v>
      </x:c>
      <x:c r="K25" s="29" t="str">
        <x:v>—</x:v>
      </x:c>
      <x:c r="L25" s="29" t="str">
        <x:v>To classify</x:v>
      </x:c>
      <x:c r="M25" s="29"/>
      <x:c r="N25" s="29"/>
      <x:c r="O25" s="29" t="str">
        <x:v>Partial</x:v>
      </x:c>
      <x:c r="P25" s="29" t="str">
        <x:v>Low</x:v>
      </x:c>
      <x:c r="Q25" s="46" t="str">
        <x:v>No</x:v>
      </x:c>
      <x:c r="R25" s="29" t="str">
        <x:v>Member / participant</x:v>
      </x:c>
      <x:c r="S25" s="29" t="str">
        <x:v>Unqualified / research pending</x:v>
      </x:c>
      <x:c r="T25" s="29" t="str">
        <x:v>Identity completion pending</x:v>
      </x:c>
      <x:c r="U25" s="29" t="str">
        <x:v>Low</x:v>
      </x:c>
      <x:c r="V25" s="29" t="str">
        <x:v>No reliable commercial signal from the available data.</x:v>
      </x:c>
      <x:c r="W25" s="29" t="str">
        <x:v>Resolve identity and current role through a consensual group-admin or direct-message check before any outreach.</x:v>
      </x:c>
      <x:c r="X25" s="29" t="str">
        <x:v>Unassigned</x:v>
      </x:c>
      <x:c r="Y25" s="32" t="n">
        <x:v>46262</x:v>
      </x:c>
      <x:c r="Z25" s="29" t="str">
        <x:v>Not recorded — internal CRM only</x:v>
      </x:c>
      <x:c r="AA25" s="29" t="str">
        <x:v>Phone / closed-group source; human review required</x:v>
      </x:c>
      <x:c r="AB25" s="29" t="str">
        <x:v>Unqualified / research pending</x:v>
      </x:c>
      <x:c r="AC25" s="29" t="str"/>
      <x:c r="AD25" s="29" t="str">
        <x:f>E25&amp;" | "&amp;J25&amp;" | "&amp;K25&amp;" | "&amp;F25</x:f>
        <x:v>Lorenzo (surname unknown) | — | — | ‎+393494519264</x:v>
      </x:c>
      <x:c r="AE25" s="31" t="n">
        <x:f>(IF(OR(O25="Confirmed",O25="Confirmed — phone matched"),2,IF(OR(O25="Self-identified",O25="Probable"),1,0))+IF(J25&lt;&gt;"—",1,0)+IF(K25&lt;&gt;"—",1,0)+IF(L25&lt;&gt;"To classify",1,0)+IF(OR(M25&lt;&gt;"",N25&lt;&gt;""),1,0)+IF(H25&lt;&gt;"",1,0)+IF(AB25&lt;&gt;"",1,0)+IF(X25&lt;&gt;"Unassigned",1,0))/9</x:f>
        <x:v>0.1111111111111111</x:v>
      </x:c>
    </x:row>
    <x:row r="26">
      <x:c r="A26" s="45" t="n">
        <x:v>22</x:v>
      </x:c>
      <x:c r="B26" s="29" t="str">
        <x:v>WhatsApp</x:v>
      </x:c>
      <x:c r="C26" s="29" t="str">
        <x:v>ISRM Ukraine</x:v>
      </x:c>
      <x:c r="D26" s="29" t="str">
        <x:v>Luke</x:v>
      </x:c>
      <x:c r="E26" s="29" t="str">
        <x:v>Luke (surname unknown)</x:v>
      </x:c>
      <x:c r="F26" s="29" t="str">
        <x:v>‎+380994385302</x:v>
      </x:c>
      <x:c r="G26" s="29" t="str">
        <x:v>Ukraine</x:v>
      </x:c>
      <x:c r="H26" s="29"/>
      <x:c r="I26" s="29"/>
      <x:c r="J26" s="29" t="str">
        <x:v>Prevail Partners</x:v>
      </x:c>
      <x:c r="K26" s="29" t="str">
        <x:v>Security risk adviser and paramedic</x:v>
      </x:c>
      <x:c r="L26" s="29" t="str">
        <x:v>Security / risk / resilience</x:v>
      </x:c>
      <x:c r="M26" s="29"/>
      <x:c r="N26" s="29"/>
      <x:c r="O26" s="29" t="str">
        <x:v>Partial</x:v>
      </x:c>
      <x:c r="P26" s="29" t="str">
        <x:v>Medium-high</x:v>
      </x:c>
      <x:c r="Q26" s="46" t="str">
        <x:v>No</x:v>
      </x:c>
      <x:c r="R26" s="29" t="str">
        <x:v>Institutional partner candidate</x:v>
      </x:c>
      <x:c r="S26" s="29" t="str">
        <x:v>Potential partner / referral</x:v>
      </x:c>
      <x:c r="T26" s="29" t="str">
        <x:v>Identity completion pending</x:v>
      </x:c>
      <x:c r="U26" s="29" t="str">
        <x:v>High</x:v>
      </x:c>
      <x:c r="V26" s="29" t="str">
        <x:v>Operational risk adviser at a relevant firm; good delivery/referral potential.</x:v>
      </x:c>
      <x:c r="W26" s="29" t="str">
        <x:v>Resolve surname through Prevail/ISRM contacts, then propose complementary legal support.</x:v>
      </x:c>
      <x:c r="X26" s="29" t="str">
        <x:v>Unassigned</x:v>
      </x:c>
      <x:c r="Y26" s="32" t="n">
        <x:v>46262</x:v>
      </x:c>
      <x:c r="Z26" s="29" t="str">
        <x:v>Not recorded — internal CRM only</x:v>
      </x:c>
      <x:c r="AA26" s="29" t="str">
        <x:v>Phone / closed-group source; human review required</x:v>
      </x:c>
      <x:c r="AB26" s="29" t="str">
        <x:v>Security / risk / resilience; Security, strategic risk and crisis management; Potential partner / referral</x:v>
      </x:c>
      <x:c r="AC26" s="29" t="str">
        <x:v>Luke Prevail SRA and Paramedic ‎Available</x:v>
      </x:c>
      <x:c r="AD26" s="29" t="str">
        <x:f>E26&amp;" | "&amp;J26&amp;" | "&amp;K26&amp;" | "&amp;F26</x:f>
        <x:v>Luke (surname unknown) | Prevail Partners | Security risk adviser and paramedic | ‎+380994385302</x:v>
      </x:c>
      <x:c r="AE26" s="31" t="n">
        <x:f>(IF(OR(O26="Confirmed",O26="Confirmed — phone matched"),2,IF(OR(O26="Self-identified",O26="Probable"),1,0))+IF(J26&lt;&gt;"—",1,0)+IF(K26&lt;&gt;"—",1,0)+IF(L26&lt;&gt;"To classify",1,0)+IF(OR(M26&lt;&gt;"",N26&lt;&gt;""),1,0)+IF(H26&lt;&gt;"",1,0)+IF(AB26&lt;&gt;"",1,0)+IF(X26&lt;&gt;"Unassigned",1,0))/9</x:f>
        <x:v>0.4444444444444444</x:v>
      </x:c>
    </x:row>
    <x:row r="27">
      <x:c r="A27" s="45" t="n">
        <x:v>23</x:v>
      </x:c>
      <x:c r="B27" s="29" t="str">
        <x:v>WhatsApp</x:v>
      </x:c>
      <x:c r="C27" s="29" t="str">
        <x:v>ISRM Ukraine</x:v>
      </x:c>
      <x:c r="D27" s="29" t="str">
        <x:v>M</x:v>
      </x:c>
      <x:c r="E27" s="29" t="str">
        <x:v>M (identity unresolved)</x:v>
      </x:c>
      <x:c r="F27" s="29" t="str">
        <x:v>‎+447711699645</x:v>
      </x:c>
      <x:c r="G27" s="29" t="str">
        <x:v>United Kingdom</x:v>
      </x:c>
      <x:c r="H27" s="29"/>
      <x:c r="I27" s="29"/>
      <x:c r="J27" s="29" t="str">
        <x:v>—</x:v>
      </x:c>
      <x:c r="K27" s="29" t="str">
        <x:v>—</x:v>
      </x:c>
      <x:c r="L27" s="29" t="str">
        <x:v>To classify</x:v>
      </x:c>
      <x:c r="M27" s="29"/>
      <x:c r="N27" s="29"/>
      <x:c r="O27" s="29" t="str">
        <x:v>Partial</x:v>
      </x:c>
      <x:c r="P27" s="29" t="str">
        <x:v>Low</x:v>
      </x:c>
      <x:c r="Q27" s="46" t="str">
        <x:v>No</x:v>
      </x:c>
      <x:c r="R27" s="29" t="str">
        <x:v>Member / participant</x:v>
      </x:c>
      <x:c r="S27" s="29" t="str">
        <x:v>Unqualified / research pending</x:v>
      </x:c>
      <x:c r="T27" s="29" t="str">
        <x:v>Identity completion pending</x:v>
      </x:c>
      <x:c r="U27" s="29" t="str">
        <x:v>Low</x:v>
      </x:c>
      <x:c r="V27" s="29" t="str">
        <x:v>No reliable commercial signal from the available data.</x:v>
      </x:c>
      <x:c r="W27" s="29" t="str">
        <x:v>Resolve identity and current role through a consensual group-admin or direct-message check before any outreach.</x:v>
      </x:c>
      <x:c r="X27" s="29" t="str">
        <x:v>Unassigned</x:v>
      </x:c>
      <x:c r="Y27" s="32" t="n">
        <x:v>46262</x:v>
      </x:c>
      <x:c r="Z27" s="29" t="str">
        <x:v>Not recorded — internal CRM only</x:v>
      </x:c>
      <x:c r="AA27" s="29" t="str">
        <x:v>Phone / closed-group source; human review required</x:v>
      </x:c>
      <x:c r="AB27" s="29" t="str">
        <x:v>Unqualified / research pending</x:v>
      </x:c>
      <x:c r="AC27" s="29" t="str"/>
      <x:c r="AD27" s="29" t="str">
        <x:f>E27&amp;" | "&amp;J27&amp;" | "&amp;K27&amp;" | "&amp;F27</x:f>
        <x:v>M (identity unresolved) | — | — | ‎+447711699645</x:v>
      </x:c>
      <x:c r="AE27" s="31" t="n">
        <x:f>(IF(OR(O27="Confirmed",O27="Confirmed — phone matched"),2,IF(OR(O27="Self-identified",O27="Probable"),1,0))+IF(J27&lt;&gt;"—",1,0)+IF(K27&lt;&gt;"—",1,0)+IF(L27&lt;&gt;"To classify",1,0)+IF(OR(M27&lt;&gt;"",N27&lt;&gt;""),1,0)+IF(H27&lt;&gt;"",1,0)+IF(AB27&lt;&gt;"",1,0)+IF(X27&lt;&gt;"Unassigned",1,0))/9</x:f>
        <x:v>0.1111111111111111</x:v>
      </x:c>
    </x:row>
    <x:row r="28">
      <x:c r="A28" s="45" t="n">
        <x:v>24</x:v>
      </x:c>
      <x:c r="B28" s="29" t="str">
        <x:v>WhatsApp</x:v>
      </x:c>
      <x:c r="C28" s="29" t="str">
        <x:v>ISRM Ukraine</x:v>
      </x:c>
      <x:c r="D28" s="29" t="str">
        <x:v>M.Mykhailo</x:v>
      </x:c>
      <x:c r="E28" s="29" t="str">
        <x:v>Mykhailo (surname unknown)</x:v>
      </x:c>
      <x:c r="F28" s="29" t="str">
        <x:v>‎+380502862926</x:v>
      </x:c>
      <x:c r="G28" s="29" t="str">
        <x:v>Ukraine</x:v>
      </x:c>
      <x:c r="H28" s="29"/>
      <x:c r="I28" s="29"/>
      <x:c r="J28" s="29" t="str">
        <x:v>—</x:v>
      </x:c>
      <x:c r="K28" s="29" t="str">
        <x:v>—</x:v>
      </x:c>
      <x:c r="L28" s="29" t="str">
        <x:v>To classify</x:v>
      </x:c>
      <x:c r="M28" s="29"/>
      <x:c r="N28" s="29"/>
      <x:c r="O28" s="29" t="str">
        <x:v>Partial</x:v>
      </x:c>
      <x:c r="P28" s="29" t="str">
        <x:v>Low</x:v>
      </x:c>
      <x:c r="Q28" s="46" t="str">
        <x:v>No</x:v>
      </x:c>
      <x:c r="R28" s="29" t="str">
        <x:v>Member / participant</x:v>
      </x:c>
      <x:c r="S28" s="29" t="str">
        <x:v>Unqualified / research pending</x:v>
      </x:c>
      <x:c r="T28" s="29" t="str">
        <x:v>Identity completion pending</x:v>
      </x:c>
      <x:c r="U28" s="29" t="str">
        <x:v>Low</x:v>
      </x:c>
      <x:c r="V28" s="29" t="str">
        <x:v>No reliable commercial signal from the available data.</x:v>
      </x:c>
      <x:c r="W28" s="29" t="str">
        <x:v>Resolve identity and current role through a consensual group-admin or direct-message check before any outreach.</x:v>
      </x:c>
      <x:c r="X28" s="29" t="str">
        <x:v>Unassigned</x:v>
      </x:c>
      <x:c r="Y28" s="32" t="n">
        <x:v>46262</x:v>
      </x:c>
      <x:c r="Z28" s="29" t="str">
        <x:v>Not recorded — internal CRM only</x:v>
      </x:c>
      <x:c r="AA28" s="29" t="str">
        <x:v>Phone / closed-group source; human review required</x:v>
      </x:c>
      <x:c r="AB28" s="29" t="str">
        <x:v>Unqualified / research pending</x:v>
      </x:c>
      <x:c r="AC28" s="29" t="str"/>
      <x:c r="AD28" s="29" t="str">
        <x:f>E28&amp;" | "&amp;J28&amp;" | "&amp;K28&amp;" | "&amp;F28</x:f>
        <x:v>Mykhailo (surname unknown) | — | — | ‎+380502862926</x:v>
      </x:c>
      <x:c r="AE28" s="31" t="n">
        <x:f>(IF(OR(O28="Confirmed",O28="Confirmed — phone matched"),2,IF(OR(O28="Self-identified",O28="Probable"),1,0))+IF(J28&lt;&gt;"—",1,0)+IF(K28&lt;&gt;"—",1,0)+IF(L28&lt;&gt;"To classify",1,0)+IF(OR(M28&lt;&gt;"",N28&lt;&gt;""),1,0)+IF(H28&lt;&gt;"",1,0)+IF(AB28&lt;&gt;"",1,0)+IF(X28&lt;&gt;"Unassigned",1,0))/9</x:f>
        <x:v>0.1111111111111111</x:v>
      </x:c>
    </x:row>
    <x:row r="29">
      <x:c r="A29" s="45" t="n">
        <x:v>25</x:v>
      </x:c>
      <x:c r="B29" s="29" t="str">
        <x:v>WhatsApp</x:v>
      </x:c>
      <x:c r="C29" s="29" t="str">
        <x:v>ISRM Ukraine</x:v>
      </x:c>
      <x:c r="D29" s="29" t="str">
        <x:v>Maksym Chebotarov</x:v>
      </x:c>
      <x:c r="E29" s="29" t="str">
        <x:v>Maksym Chebotarov</x:v>
      </x:c>
      <x:c r="F29" s="29" t="str">
        <x:v>‎+380951620534</x:v>
      </x:c>
      <x:c r="G29" s="29" t="str">
        <x:v>Ukraine</x:v>
      </x:c>
      <x:c r="H29" s="29"/>
      <x:c r="I29" s="29"/>
      <x:c r="J29" s="29" t="str">
        <x:v>Transatlantic Dialogue Center / ISRM Ukraine</x:v>
      </x:c>
      <x:c r="K29" s="29" t="str">
        <x:v>Young Professionals and Mentoring; policy expert</x:v>
      </x:c>
      <x:c r="L29" s="29" t="str">
        <x:v>To classify</x:v>
      </x:c>
      <x:c r="M29" s="29"/>
      <x:c r="N29" s="29" t="str">
        <x:v>https://tdcenter.org/2026/07/14/ukraine-strategic-risk-management-isrm-launch/</x:v>
      </x:c>
      <x:c r="O29" s="29" t="str">
        <x:v>Confirmed</x:v>
      </x:c>
      <x:c r="P29" s="29" t="str">
        <x:v>High</x:v>
      </x:c>
      <x:c r="Q29" s="46" t="str">
        <x:v>No</x:v>
      </x:c>
      <x:c r="R29" s="29" t="str">
        <x:v>Connector / community multiplier</x:v>
      </x:c>
      <x:c r="S29" s="29" t="str">
        <x:v>Connector / community multiplier</x:v>
      </x:c>
      <x:c r="T29" s="29" t="str">
        <x:v>Verified profile</x:v>
      </x:c>
      <x:c r="U29" s="29" t="str">
        <x:v>Medium</x:v>
      </x:c>
      <x:c r="V29" s="29" t="str">
        <x:v>Cross-border public-private network with strong introduction potential.</x:v>
      </x:c>
      <x:c r="W29" s="29" t="str">
        <x:v>Seek introductions to investors and reconstruction projects needing Ukrainian counsel.</x:v>
      </x:c>
      <x:c r="X29" s="29" t="str">
        <x:v>Unassigned</x:v>
      </x:c>
      <x:c r="Y29" s="32" t="n">
        <x:v>46262</x:v>
      </x:c>
      <x:c r="Z29" s="29" t="str">
        <x:v>Not recorded — internal CRM only</x:v>
      </x:c>
      <x:c r="AA29" s="29" t="str">
        <x:v>Phone / closed-group source; human review required</x:v>
      </x:c>
      <x:c r="AB29" s="29" t="str">
        <x:v>Connector / community multiplier</x:v>
      </x:c>
      <x:c r="AC29" s="29" t="str">
        <x:v>US-Ukraine PP Coordinator, TDC</x:v>
      </x:c>
      <x:c r="AD29" s="29" t="str">
        <x:f>E29&amp;" | "&amp;J29&amp;" | "&amp;K29&amp;" | "&amp;F29</x:f>
        <x:v>Maksym Chebotarov | Transatlantic Dialogue Center / ISRM Ukraine | Young Professionals and Mentoring; policy expert | ‎+380951620534</x:v>
      </x:c>
      <x:c r="AE29" s="31" t="n">
        <x:f>(IF(OR(O29="Confirmed",O29="Confirmed — phone matched"),2,IF(OR(O29="Self-identified",O29="Probable"),1,0))+IF(J29&lt;&gt;"—",1,0)+IF(K29&lt;&gt;"—",1,0)+IF(L29&lt;&gt;"To classify",1,0)+IF(OR(M29&lt;&gt;"",N29&lt;&gt;""),1,0)+IF(H29&lt;&gt;"",1,0)+IF(AB29&lt;&gt;"",1,0)+IF(X29&lt;&gt;"Unassigned",1,0))/9</x:f>
        <x:v>0.6666666666666666</x:v>
      </x:c>
    </x:row>
    <x:row r="30">
      <x:c r="A30" s="45" t="n">
        <x:v>26</x:v>
      </x:c>
      <x:c r="B30" s="29" t="str">
        <x:v>WhatsApp</x:v>
      </x:c>
      <x:c r="C30" s="29" t="str">
        <x:v>ISRM Ukraine</x:v>
      </x:c>
      <x:c r="D30" s="29" t="str">
        <x:v>MF</x:v>
      </x:c>
      <x:c r="E30" s="29" t="str">
        <x:v>MF (initials only)</x:v>
      </x:c>
      <x:c r="F30" s="29" t="str">
        <x:v>‎+380959856701</x:v>
      </x:c>
      <x:c r="G30" s="29" t="str">
        <x:v>Ukraine</x:v>
      </x:c>
      <x:c r="H30" s="29"/>
      <x:c r="I30" s="29"/>
      <x:c r="J30" s="29" t="str">
        <x:v>Prevail Partners</x:v>
      </x:c>
      <x:c r="K30" s="29" t="str">
        <x:v>Security Risk Adviser, Kyiv</x:v>
      </x:c>
      <x:c r="L30" s="29" t="str">
        <x:v>Security / risk / resilience</x:v>
      </x:c>
      <x:c r="M30" s="29"/>
      <x:c r="N30" s="29"/>
      <x:c r="O30" s="29" t="str">
        <x:v>Partial</x:v>
      </x:c>
      <x:c r="P30" s="29" t="str">
        <x:v>Medium</x:v>
      </x:c>
      <x:c r="Q30" s="46" t="str">
        <x:v>No</x:v>
      </x:c>
      <x:c r="R30" s="29" t="str">
        <x:v>Institutional partner candidate</x:v>
      </x:c>
      <x:c r="S30" s="29" t="str">
        <x:v>Potential partner / referral</x:v>
      </x:c>
      <x:c r="T30" s="29" t="str">
        <x:v>Identity completion pending</x:v>
      </x:c>
      <x:c r="U30" s="29" t="str">
        <x:v>High</x:v>
      </x:c>
      <x:c r="V30" s="29" t="str">
        <x:v>Relevant advisory firm and role, but identity is incomplete.</x:v>
      </x:c>
      <x:c r="W30" s="29" t="str">
        <x:v>Resolve full name internally before outreach.</x:v>
      </x:c>
      <x:c r="X30" s="29" t="str">
        <x:v>Unassigned</x:v>
      </x:c>
      <x:c r="Y30" s="32" t="n">
        <x:v>46262</x:v>
      </x:c>
      <x:c r="Z30" s="29" t="str">
        <x:v>Not recorded — internal CRM only</x:v>
      </x:c>
      <x:c r="AA30" s="29" t="str">
        <x:v>Phone / closed-group source; human review required</x:v>
      </x:c>
      <x:c r="AB30" s="29" t="str">
        <x:v>Security / risk / resilience; Security, strategic risk and crisis management; Potential partner / referral</x:v>
      </x:c>
      <x:c r="AC30" s="29" t="str">
        <x:v>SRA at Prevail Partners Kyiv</x:v>
      </x:c>
      <x:c r="AD30" s="29" t="str">
        <x:f>E30&amp;" | "&amp;J30&amp;" | "&amp;K30&amp;" | "&amp;F30</x:f>
        <x:v>MF (initials only) | Prevail Partners | Security Risk Adviser, Kyiv | ‎+380959856701</x:v>
      </x:c>
      <x:c r="AE30" s="31" t="n">
        <x:f>(IF(OR(O30="Confirmed",O30="Confirmed — phone matched"),2,IF(OR(O30="Self-identified",O30="Probable"),1,0))+IF(J30&lt;&gt;"—",1,0)+IF(K30&lt;&gt;"—",1,0)+IF(L30&lt;&gt;"To classify",1,0)+IF(OR(M30&lt;&gt;"",N30&lt;&gt;""),1,0)+IF(H30&lt;&gt;"",1,0)+IF(AB30&lt;&gt;"",1,0)+IF(X30&lt;&gt;"Unassigned",1,0))/9</x:f>
        <x:v>0.4444444444444444</x:v>
      </x:c>
    </x:row>
    <x:row r="31">
      <x:c r="A31" s="45" t="n">
        <x:v>27</x:v>
      </x:c>
      <x:c r="B31" s="29" t="str">
        <x:v>WhatsApp</x:v>
      </x:c>
      <x:c r="C31" s="29" t="str">
        <x:v>ISRM Ukraine</x:v>
      </x:c>
      <x:c r="D31" s="29" t="str">
        <x:v>Michael</x:v>
      </x:c>
      <x:c r="E31" s="29" t="str">
        <x:v>Michael (surname unknown)</x:v>
      </x:c>
      <x:c r="F31" s="29" t="str">
        <x:v>‎+380669198765</x:v>
      </x:c>
      <x:c r="G31" s="29" t="str">
        <x:v>Ukraine</x:v>
      </x:c>
      <x:c r="H31" s="29"/>
      <x:c r="I31" s="29"/>
      <x:c r="J31" s="29" t="str">
        <x:v>ISRM Ukraine (group admin)</x:v>
      </x:c>
      <x:c r="K31" s="29" t="str">
        <x:v>Administrator; exact role unknown</x:v>
      </x:c>
      <x:c r="L31" s="29" t="str">
        <x:v>To classify</x:v>
      </x:c>
      <x:c r="M31" s="29"/>
      <x:c r="N31" s="29"/>
      <x:c r="O31" s="29" t="str">
        <x:v>Partial</x:v>
      </x:c>
      <x:c r="P31" s="29" t="str">
        <x:v>Medium</x:v>
      </x:c>
      <x:c r="Q31" s="46" t="str">
        <x:v>Yes</x:v>
      </x:c>
      <x:c r="R31" s="29" t="str">
        <x:v>Group administrator / community organiser</x:v>
      </x:c>
      <x:c r="S31" s="29" t="str">
        <x:v>Connector / community multiplier</x:v>
      </x:c>
      <x:c r="T31" s="29" t="str">
        <x:v>Identity completion pending</x:v>
      </x:c>
      <x:c r="U31" s="29" t="str">
        <x:v>Medium</x:v>
      </x:c>
      <x:c r="V31" s="29" t="str">
        <x:v>Group administrator, therefore potentially useful for validation and introductions.</x:v>
      </x:c>
      <x:c r="W31" s="29" t="str">
        <x:v>Ask another administrator to confirm identity and role.</x:v>
      </x:c>
      <x:c r="X31" s="29" t="str">
        <x:v>Unassigned</x:v>
      </x:c>
      <x:c r="Y31" s="32" t="n">
        <x:v>46262</x:v>
      </x:c>
      <x:c r="Z31" s="29" t="str">
        <x:v>Not recorded — internal CRM only</x:v>
      </x:c>
      <x:c r="AA31" s="29" t="str">
        <x:v>Phone / closed-group source; human review required</x:v>
      </x:c>
      <x:c r="AB31" s="29" t="str">
        <x:v>Connector / community multiplier</x:v>
      </x:c>
      <x:c r="AC31" s="29" t="str"/>
      <x:c r="AD31" s="29" t="str">
        <x:f>E31&amp;" | "&amp;J31&amp;" | "&amp;K31&amp;" | "&amp;F31</x:f>
        <x:v>Michael (surname unknown) | ISRM Ukraine (group admin) | Administrator; exact role unknown | ‎+380669198765</x:v>
      </x:c>
      <x:c r="AE31" s="31" t="n">
        <x:f>(IF(OR(O31="Confirmed",O31="Confirmed — phone matched"),2,IF(OR(O31="Self-identified",O31="Probable"),1,0))+IF(J31&lt;&gt;"—",1,0)+IF(K31&lt;&gt;"—",1,0)+IF(L31&lt;&gt;"To classify",1,0)+IF(OR(M31&lt;&gt;"",N31&lt;&gt;""),1,0)+IF(H31&lt;&gt;"",1,0)+IF(AB31&lt;&gt;"",1,0)+IF(X31&lt;&gt;"Unassigned",1,0))/9</x:f>
        <x:v>0.3333333333333333</x:v>
      </x:c>
    </x:row>
    <x:row r="32">
      <x:c r="A32" s="45" t="n">
        <x:v>28</x:v>
      </x:c>
      <x:c r="B32" s="29" t="str">
        <x:v>WhatsApp</x:v>
      </x:c>
      <x:c r="C32" s="29" t="str">
        <x:v>ISRM Ukraine</x:v>
      </x:c>
      <x:c r="D32" s="29" t="str">
        <x:v>Mick Stott</x:v>
      </x:c>
      <x:c r="E32" s="29" t="str">
        <x:v>Michael “Mick” Stott</x:v>
      </x:c>
      <x:c r="F32" s="29" t="str">
        <x:v>‎+447834914220</x:v>
      </x:c>
      <x:c r="G32" s="29" t="str">
        <x:v>United Kingdom</x:v>
      </x:c>
      <x:c r="H32" s="29"/>
      <x:c r="I32" s="29"/>
      <x:c r="J32" s="29" t="str">
        <x:v>—</x:v>
      </x:c>
      <x:c r="K32" s="29" t="str">
        <x:v>Professor h.c.; exact current affiliation unverified</x:v>
      </x:c>
      <x:c r="L32" s="29" t="str">
        <x:v>Academia / research</x:v>
      </x:c>
      <x:c r="M32" s="29"/>
      <x:c r="N32" s="29"/>
      <x:c r="O32" s="29" t="str">
        <x:v>Probable</x:v>
      </x:c>
      <x:c r="P32" s="29" t="str">
        <x:v>Medium</x:v>
      </x:c>
      <x:c r="Q32" s="46" t="str">
        <x:v>No</x:v>
      </x:c>
      <x:c r="R32" s="29" t="str">
        <x:v>Member / participant</x:v>
      </x:c>
      <x:c r="S32" s="29" t="str">
        <x:v>Member / verify</x:v>
      </x:c>
      <x:c r="T32" s="29" t="str">
        <x:v>Match verification pending</x:v>
      </x:c>
      <x:c r="U32" s="29" t="str">
        <x:v>Medium</x:v>
      </x:c>
      <x:c r="V32" s="29" t="str">
        <x:v>Potential senior academic/security connector; insufficient current-role evidence.</x:v>
      </x:c>
      <x:c r="W32" s="29" t="str">
        <x:v>Confirm affiliation and Ukraine remit.</x:v>
      </x:c>
      <x:c r="X32" s="29" t="str">
        <x:v>Unassigned</x:v>
      </x:c>
      <x:c r="Y32" s="32" t="n">
        <x:v>46262</x:v>
      </x:c>
      <x:c r="Z32" s="29" t="str">
        <x:v>Not recorded — internal CRM only</x:v>
      </x:c>
      <x:c r="AA32" s="29" t="str">
        <x:v>Phone / closed-group source; human review required</x:v>
      </x:c>
      <x:c r="AB32" s="29" t="str">
        <x:v>Academia / research; Research, education and knowledge transfer; Member / verify</x:v>
      </x:c>
      <x:c r="AC32" s="29" t="str">
        <x:v>Professor h.c. Michael Stott</x:v>
      </x:c>
      <x:c r="AD32" s="29" t="str">
        <x:f>E32&amp;" | "&amp;J32&amp;" | "&amp;K32&amp;" | "&amp;F32</x:f>
        <x:v>Michael “Mick” Stott | — | Professor h.c.; exact current affiliation unverified | ‎+447834914220</x:v>
      </x:c>
      <x:c r="AE32" s="31" t="n">
        <x:f>(IF(OR(O32="Confirmed",O32="Confirmed — phone matched"),2,IF(OR(O32="Self-identified",O32="Probable"),1,0))+IF(J32&lt;&gt;"—",1,0)+IF(K32&lt;&gt;"—",1,0)+IF(L32&lt;&gt;"To classify",1,0)+IF(OR(M32&lt;&gt;"",N32&lt;&gt;""),1,0)+IF(H32&lt;&gt;"",1,0)+IF(AB32&lt;&gt;"",1,0)+IF(X32&lt;&gt;"Unassigned",1,0))/9</x:f>
        <x:v>0.4444444444444444</x:v>
      </x:c>
    </x:row>
    <x:row r="33">
      <x:c r="A33" s="45" t="n">
        <x:v>29</x:v>
      </x:c>
      <x:c r="B33" s="29" t="str">
        <x:v>WhatsApp</x:v>
      </x:c>
      <x:c r="C33" s="29" t="str">
        <x:v>ISRM Ukraine</x:v>
      </x:c>
      <x:c r="D33" s="29" t="str">
        <x:v>Miniailyk Oleksandr</x:v>
      </x:c>
      <x:c r="E33" s="29" t="str">
        <x:v>Oleksandr Miniailyk</x:v>
      </x:c>
      <x:c r="F33" s="29" t="str">
        <x:v>‎+380935588555</x:v>
      </x:c>
      <x:c r="G33" s="29" t="str">
        <x:v>Ukraine</x:v>
      </x:c>
      <x:c r="H33" s="29"/>
      <x:c r="I33" s="29"/>
      <x:c r="J33" s="29" t="str">
        <x:v>—</x:v>
      </x:c>
      <x:c r="K33" s="29" t="str">
        <x:v>—</x:v>
      </x:c>
      <x:c r="L33" s="29" t="str">
        <x:v>To classify</x:v>
      </x:c>
      <x:c r="M33" s="29"/>
      <x:c r="N33" s="29"/>
      <x:c r="O33" s="29" t="str">
        <x:v>Self-identified</x:v>
      </x:c>
      <x:c r="P33" s="29" t="str">
        <x:v>Medium</x:v>
      </x:c>
      <x:c r="Q33" s="46" t="str">
        <x:v>No</x:v>
      </x:c>
      <x:c r="R33" s="29" t="str">
        <x:v>Member / participant</x:v>
      </x:c>
      <x:c r="S33" s="29" t="str">
        <x:v>Member / verify</x:v>
      </x:c>
      <x:c r="T33" s="29" t="str">
        <x:v>Identity stated; professional verification pending</x:v>
      </x:c>
      <x:c r="U33" s="29" t="str">
        <x:v>Medium</x:v>
      </x:c>
      <x:c r="V33" s="29" t="str">
        <x:v>Full name available but no reliable role match.</x:v>
      </x:c>
      <x:c r="W33" s="29" t="str">
        <x:v>Ask for organization and role.</x:v>
      </x:c>
      <x:c r="X33" s="29" t="str">
        <x:v>Unassigned</x:v>
      </x:c>
      <x:c r="Y33" s="32" t="n">
        <x:v>46262</x:v>
      </x:c>
      <x:c r="Z33" s="29" t="str">
        <x:v>Not recorded — internal CRM only</x:v>
      </x:c>
      <x:c r="AA33" s="29" t="str">
        <x:v>Phone / closed-group source; human review required</x:v>
      </x:c>
      <x:c r="AB33" s="29" t="str">
        <x:v>Member / verify</x:v>
      </x:c>
      <x:c r="AC33" s="29" t="str"/>
      <x:c r="AD33" s="29" t="str">
        <x:f>E33&amp;" | "&amp;J33&amp;" | "&amp;K33&amp;" | "&amp;F33</x:f>
        <x:v>Oleksandr Miniailyk | — | — | ‎+380935588555</x:v>
      </x:c>
      <x:c r="AE33" s="31" t="n">
        <x:f>(IF(OR(O33="Confirmed",O33="Confirmed — phone matched"),2,IF(OR(O33="Self-identified",O33="Probable"),1,0))+IF(J33&lt;&gt;"—",1,0)+IF(K33&lt;&gt;"—",1,0)+IF(L33&lt;&gt;"To classify",1,0)+IF(OR(M33&lt;&gt;"",N33&lt;&gt;""),1,0)+IF(H33&lt;&gt;"",1,0)+IF(AB33&lt;&gt;"",1,0)+IF(X33&lt;&gt;"Unassigned",1,0))/9</x:f>
        <x:v>0.2222222222222222</x:v>
      </x:c>
    </x:row>
    <x:row r="34">
      <x:c r="A34" s="45" t="n">
        <x:v>30</x:v>
      </x:c>
      <x:c r="B34" s="29" t="str">
        <x:v>WhatsApp</x:v>
      </x:c>
      <x:c r="C34" s="29" t="str">
        <x:v>ISRM Ukraine</x:v>
      </x:c>
      <x:c r="D34" s="29" t="str">
        <x:v>Murat BAYRAKTAR</x:v>
      </x:c>
      <x:c r="E34" s="29" t="str">
        <x:v>Murat Bayraktar</x:v>
      </x:c>
      <x:c r="F34" s="29" t="str">
        <x:v>‎+905398984848</x:v>
      </x:c>
      <x:c r="G34" s="29" t="str">
        <x:v>Türkiye</x:v>
      </x:c>
      <x:c r="H34" s="29"/>
      <x:c r="I34" s="29"/>
      <x:c r="J34" s="29" t="str">
        <x:v>Istanbul Esenyurt University</x:v>
      </x:c>
      <x:c r="K34" s="29" t="str">
        <x:v>Assistant Professor</x:v>
      </x:c>
      <x:c r="L34" s="29" t="str">
        <x:v>Academia / research</x:v>
      </x:c>
      <x:c r="M34" s="29"/>
      <x:c r="N34" s="29" t="str">
        <x:v>https://papers.ssrn.com/sol3/papers.cfm?abstract_id=4045000</x:v>
      </x:c>
      <x:c r="O34" s="29" t="str">
        <x:v>Confirmed</x:v>
      </x:c>
      <x:c r="P34" s="29" t="str">
        <x:v>High</x:v>
      </x:c>
      <x:c r="Q34" s="46" t="str">
        <x:v>No</x:v>
      </x:c>
      <x:c r="R34" s="29" t="str">
        <x:v>Member / participant</x:v>
      </x:c>
      <x:c r="S34" s="29" t="str">
        <x:v>Member / verify</x:v>
      </x:c>
      <x:c r="T34" s="29" t="str">
        <x:v>Verified profile</x:v>
      </x:c>
      <x:c r="U34" s="29" t="str">
        <x:v>Medium</x:v>
      </x:c>
      <x:c r="V34" s="29" t="str">
        <x:v>Academic risk/governance contact; mainly knowledge and referral value.</x:v>
      </x:c>
      <x:c r="W34" s="29" t="str">
        <x:v>Keep for expert engagement; no direct sales approach without a relevant project.</x:v>
      </x:c>
      <x:c r="X34" s="29" t="str">
        <x:v>Unassigned</x:v>
      </x:c>
      <x:c r="Y34" s="32" t="n">
        <x:v>46262</x:v>
      </x:c>
      <x:c r="Z34" s="29" t="str">
        <x:v>Not recorded — internal CRM only</x:v>
      </x:c>
      <x:c r="AA34" s="29" t="str">
        <x:v>Phone / closed-group source; human review required</x:v>
      </x:c>
      <x:c r="AB34" s="29" t="str">
        <x:v>Academia / research; Research, education and knowledge transfer; Member / verify</x:v>
      </x:c>
      <x:c r="AC34" s="29" t="str">
        <x:v>Asst Prof Dr Murat Bayraktar</x:v>
      </x:c>
      <x:c r="AD34" s="29" t="str">
        <x:f>E34&amp;" | "&amp;J34&amp;" | "&amp;K34&amp;" | "&amp;F34</x:f>
        <x:v>Murat Bayraktar | Istanbul Esenyurt University | Assistant Professor | ‎+905398984848</x:v>
      </x:c>
      <x:c r="AE34" s="31" t="n">
        <x:f>(IF(OR(O34="Confirmed",O34="Confirmed — phone matched"),2,IF(OR(O34="Self-identified",O34="Probable"),1,0))+IF(J34&lt;&gt;"—",1,0)+IF(K34&lt;&gt;"—",1,0)+IF(L34&lt;&gt;"To classify",1,0)+IF(OR(M34&lt;&gt;"",N34&lt;&gt;""),1,0)+IF(H34&lt;&gt;"",1,0)+IF(AB34&lt;&gt;"",1,0)+IF(X34&lt;&gt;"Unassigned",1,0))/9</x:f>
        <x:v>0.7777777777777778</x:v>
      </x:c>
    </x:row>
    <x:row r="35">
      <x:c r="A35" s="45" t="n">
        <x:v>31</x:v>
      </x:c>
      <x:c r="B35" s="29" t="str">
        <x:v>WhatsApp</x:v>
      </x:c>
      <x:c r="C35" s="29" t="str">
        <x:v>ISRM Ukraine</x:v>
      </x:c>
      <x:c r="D35" s="29" t="str">
        <x:v>My Polish Number</x:v>
      </x:c>
      <x:c r="E35" s="29" t="str">
        <x:v>Identity unresolved (Polish number)</x:v>
      </x:c>
      <x:c r="F35" s="29" t="str">
        <x:v>‎+48516247363</x:v>
      </x:c>
      <x:c r="G35" s="29" t="str">
        <x:v>Poland</x:v>
      </x:c>
      <x:c r="H35" s="29"/>
      <x:c r="I35" s="29"/>
      <x:c r="J35" s="29" t="str">
        <x:v>—</x:v>
      </x:c>
      <x:c r="K35" s="29" t="str">
        <x:v>—</x:v>
      </x:c>
      <x:c r="L35" s="29" t="str">
        <x:v>Business / advisory</x:v>
      </x:c>
      <x:c r="M35" s="29"/>
      <x:c r="N35" s="29"/>
      <x:c r="O35" s="29" t="str">
        <x:v>Partial</x:v>
      </x:c>
      <x:c r="P35" s="29" t="str">
        <x:v>Low</x:v>
      </x:c>
      <x:c r="Q35" s="46" t="str">
        <x:v>No</x:v>
      </x:c>
      <x:c r="R35" s="29" t="str">
        <x:v>Member / participant</x:v>
      </x:c>
      <x:c r="S35" s="29" t="str">
        <x:v>Unqualified / research pending</x:v>
      </x:c>
      <x:c r="T35" s="29" t="str">
        <x:v>Identity completion pending</x:v>
      </x:c>
      <x:c r="U35" s="29" t="str">
        <x:v>Low</x:v>
      </x:c>
      <x:c r="V35" s="29" t="str">
        <x:v>No reliable commercial signal from the available data.</x:v>
      </x:c>
      <x:c r="W35" s="29" t="str">
        <x:v>Resolve identity and current role through a consensual group-admin or direct-message check before any outreach.</x:v>
      </x:c>
      <x:c r="X35" s="29" t="str">
        <x:v>Unassigned</x:v>
      </x:c>
      <x:c r="Y35" s="32" t="n">
        <x:v>46262</x:v>
      </x:c>
      <x:c r="Z35" s="29" t="str">
        <x:v>Not recorded — internal CRM only</x:v>
      </x:c>
      <x:c r="AA35" s="29" t="str">
        <x:v>Phone / closed-group source; human review required</x:v>
      </x:c>
      <x:c r="AB35" s="29" t="str">
        <x:v>Business / advisory; Leadership, advisory and business continuity; Unqualified / research pending</x:v>
      </x:c>
      <x:c r="AC35" s="29" t="str">
        <x:v>Здравствуйте! Я использую WhatsApp Business.</x:v>
      </x:c>
      <x:c r="AD35" s="29" t="str">
        <x:f>E35&amp;" | "&amp;J35&amp;" | "&amp;K35&amp;" | "&amp;F35</x:f>
        <x:v>Identity unresolved (Polish number) | — | — | ‎+48516247363</x:v>
      </x:c>
      <x:c r="AE35" s="31" t="n">
        <x:f>(IF(OR(O35="Confirmed",O35="Confirmed — phone matched"),2,IF(OR(O35="Self-identified",O35="Probable"),1,0))+IF(J35&lt;&gt;"—",1,0)+IF(K35&lt;&gt;"—",1,0)+IF(L35&lt;&gt;"To classify",1,0)+IF(OR(M35&lt;&gt;"",N35&lt;&gt;""),1,0)+IF(H35&lt;&gt;"",1,0)+IF(AB35&lt;&gt;"",1,0)+IF(X35&lt;&gt;"Unassigned",1,0))/9</x:f>
        <x:v>0.2222222222222222</x:v>
      </x:c>
    </x:row>
    <x:row r="36">
      <x:c r="A36" s="45" t="n">
        <x:v>32</x:v>
      </x:c>
      <x:c r="B36" s="29" t="str">
        <x:v>WhatsApp</x:v>
      </x:c>
      <x:c r="C36" s="29" t="str">
        <x:v>ISRM Ukraine</x:v>
      </x:c>
      <x:c r="D36" s="29" t="str">
        <x:v>Natalia</x:v>
      </x:c>
      <x:c r="E36" s="29" t="str">
        <x:v>Natalia (surname unknown)</x:v>
      </x:c>
      <x:c r="F36" s="29" t="str">
        <x:v>‎+380939978770</x:v>
      </x:c>
      <x:c r="G36" s="29" t="str">
        <x:v>Ukraine</x:v>
      </x:c>
      <x:c r="H36" s="29"/>
      <x:c r="I36" s="29"/>
      <x:c r="J36" s="29" t="str">
        <x:v>—</x:v>
      </x:c>
      <x:c r="K36" s="29" t="str">
        <x:v>—</x:v>
      </x:c>
      <x:c r="L36" s="29" t="str">
        <x:v>To classify</x:v>
      </x:c>
      <x:c r="M36" s="29"/>
      <x:c r="N36" s="29"/>
      <x:c r="O36" s="29" t="str">
        <x:v>Partial</x:v>
      </x:c>
      <x:c r="P36" s="29" t="str">
        <x:v>Low</x:v>
      </x:c>
      <x:c r="Q36" s="46" t="str">
        <x:v>No</x:v>
      </x:c>
      <x:c r="R36" s="29" t="str">
        <x:v>Member / participant</x:v>
      </x:c>
      <x:c r="S36" s="29" t="str">
        <x:v>Unqualified / research pending</x:v>
      </x:c>
      <x:c r="T36" s="29" t="str">
        <x:v>Identity completion pending</x:v>
      </x:c>
      <x:c r="U36" s="29" t="str">
        <x:v>Low</x:v>
      </x:c>
      <x:c r="V36" s="29" t="str">
        <x:v>No reliable commercial signal from the available data.</x:v>
      </x:c>
      <x:c r="W36" s="29" t="str">
        <x:v>Resolve identity and current role through a consensual group-admin or direct-message check before any outreach.</x:v>
      </x:c>
      <x:c r="X36" s="29" t="str">
        <x:v>Unassigned</x:v>
      </x:c>
      <x:c r="Y36" s="32" t="n">
        <x:v>46262</x:v>
      </x:c>
      <x:c r="Z36" s="29" t="str">
        <x:v>Not recorded — internal CRM only</x:v>
      </x:c>
      <x:c r="AA36" s="29" t="str">
        <x:v>Phone / closed-group source; human review required</x:v>
      </x:c>
      <x:c r="AB36" s="29" t="str">
        <x:v>Unqualified / research pending</x:v>
      </x:c>
      <x:c r="AC36" s="29" t="str"/>
      <x:c r="AD36" s="29" t="str">
        <x:f>E36&amp;" | "&amp;J36&amp;" | "&amp;K36&amp;" | "&amp;F36</x:f>
        <x:v>Natalia (surname unknown) | — | — | ‎+380939978770</x:v>
      </x:c>
      <x:c r="AE36" s="31" t="n">
        <x:f>(IF(OR(O36="Confirmed",O36="Confirmed — phone matched"),2,IF(OR(O36="Self-identified",O36="Probable"),1,0))+IF(J36&lt;&gt;"—",1,0)+IF(K36&lt;&gt;"—",1,0)+IF(L36&lt;&gt;"To classify",1,0)+IF(OR(M36&lt;&gt;"",N36&lt;&gt;""),1,0)+IF(H36&lt;&gt;"",1,0)+IF(AB36&lt;&gt;"",1,0)+IF(X36&lt;&gt;"Unassigned",1,0))/9</x:f>
        <x:v>0.1111111111111111</x:v>
      </x:c>
    </x:row>
    <x:row r="37">
      <x:c r="A37" s="45" t="n">
        <x:v>33</x:v>
      </x:c>
      <x:c r="B37" s="29" t="str">
        <x:v>WhatsApp</x:v>
      </x:c>
      <x:c r="C37" s="29" t="str">
        <x:v>ISRM Ukraine</x:v>
      </x:c>
      <x:c r="D37" s="29" t="str">
        <x:v>Natalia Burkina</x:v>
      </x:c>
      <x:c r="E37" s="29" t="str">
        <x:v>Natalia Burkina</x:v>
      </x:c>
      <x:c r="F37" s="29" t="str">
        <x:v>‎+4366499970307</x:v>
      </x:c>
      <x:c r="G37" s="29" t="str">
        <x:v>Austria</x:v>
      </x:c>
      <x:c r="H37" s="29"/>
      <x:c r="I37" s="29"/>
      <x:c r="J37" s="29" t="str">
        <x:v>FHV Vorarlberg University of Applied Sciences / Donetsk National University</x:v>
      </x:c>
      <x:c r="K37" s="29" t="str">
        <x:v>Researcher and data scientist</x:v>
      </x:c>
      <x:c r="L37" s="29" t="str">
        <x:v>Academia / research</x:v>
      </x:c>
      <x:c r="M37" s="29"/>
      <x:c r="N37" s="29" t="str">
        <x:v>https://www.fhv.at/magazin/zahlen-die-geschichten-erzahlen-33655</x:v>
      </x:c>
      <x:c r="O37" s="29" t="str">
        <x:v>Confirmed</x:v>
      </x:c>
      <x:c r="P37" s="29" t="str">
        <x:v>High</x:v>
      </x:c>
      <x:c r="Q37" s="46" t="str">
        <x:v>No</x:v>
      </x:c>
      <x:c r="R37" s="29" t="str">
        <x:v>Member / participant</x:v>
      </x:c>
      <x:c r="S37" s="29" t="str">
        <x:v>Member / verify</x:v>
      </x:c>
      <x:c r="T37" s="29" t="str">
        <x:v>Verified profile</x:v>
      </x:c>
      <x:c r="U37" s="29" t="str">
        <x:v>Medium</x:v>
      </x:c>
      <x:c r="V37" s="29" t="str">
        <x:v>Analytical and academic network; possible research collaborator.</x:v>
      </x:c>
      <x:c r="W37" s="29" t="str">
        <x:v>Approach only around data, research or reconstruction analytics.</x:v>
      </x:c>
      <x:c r="X37" s="29" t="str">
        <x:v>Unassigned</x:v>
      </x:c>
      <x:c r="Y37" s="32" t="n">
        <x:v>46262</x:v>
      </x:c>
      <x:c r="Z37" s="29" t="str">
        <x:v>Not recorded — internal CRM only</x:v>
      </x:c>
      <x:c r="AA37" s="29" t="str">
        <x:v>Phone / closed-group source; human review required</x:v>
      </x:c>
      <x:c r="AB37" s="29" t="str">
        <x:v>Academia / research; Research, education and knowledge transfer; Member / verify</x:v>
      </x:c>
      <x:c r="AC37" s="29" t="str"/>
      <x:c r="AD37" s="29" t="str">
        <x:f>E37&amp;" | "&amp;J37&amp;" | "&amp;K37&amp;" | "&amp;F37</x:f>
        <x:v>Natalia Burkina | FHV Vorarlberg University of Applied Sciences / Donetsk National University | Researcher and data scientist | ‎+4366499970307</x:v>
      </x:c>
      <x:c r="AE37" s="31" t="n">
        <x:f>(IF(OR(O37="Confirmed",O37="Confirmed — phone matched"),2,IF(OR(O37="Self-identified",O37="Probable"),1,0))+IF(J37&lt;&gt;"—",1,0)+IF(K37&lt;&gt;"—",1,0)+IF(L37&lt;&gt;"To classify",1,0)+IF(OR(M37&lt;&gt;"",N37&lt;&gt;""),1,0)+IF(H37&lt;&gt;"",1,0)+IF(AB37&lt;&gt;"",1,0)+IF(X37&lt;&gt;"Unassigned",1,0))/9</x:f>
        <x:v>0.7777777777777778</x:v>
      </x:c>
    </x:row>
    <x:row r="38">
      <x:c r="A38" s="45" t="n">
        <x:v>34</x:v>
      </x:c>
      <x:c r="B38" s="29" t="str">
        <x:v>WhatsApp</x:v>
      </x:c>
      <x:c r="C38" s="29" t="str">
        <x:v>ISRM Ukraine</x:v>
      </x:c>
      <x:c r="D38" s="29" t="str">
        <x:v>Nataliia</x:v>
      </x:c>
      <x:c r="E38" s="29" t="str">
        <x:v>Nataliia (surname unknown)</x:v>
      </x:c>
      <x:c r="F38" s="29" t="str">
        <x:v>‎+380672719148</x:v>
      </x:c>
      <x:c r="G38" s="29" t="str">
        <x:v>Ukraine</x:v>
      </x:c>
      <x:c r="H38" s="29"/>
      <x:c r="I38" s="29"/>
      <x:c r="J38" s="29" t="str">
        <x:v>—</x:v>
      </x:c>
      <x:c r="K38" s="29" t="str">
        <x:v>—</x:v>
      </x:c>
      <x:c r="L38" s="29" t="str">
        <x:v>To classify</x:v>
      </x:c>
      <x:c r="M38" s="29"/>
      <x:c r="N38" s="29"/>
      <x:c r="O38" s="29" t="str">
        <x:v>Partial</x:v>
      </x:c>
      <x:c r="P38" s="29" t="str">
        <x:v>Low</x:v>
      </x:c>
      <x:c r="Q38" s="46" t="str">
        <x:v>No</x:v>
      </x:c>
      <x:c r="R38" s="29" t="str">
        <x:v>Member / participant</x:v>
      </x:c>
      <x:c r="S38" s="29" t="str">
        <x:v>Unqualified / research pending</x:v>
      </x:c>
      <x:c r="T38" s="29" t="str">
        <x:v>Identity completion pending</x:v>
      </x:c>
      <x:c r="U38" s="29" t="str">
        <x:v>Low</x:v>
      </x:c>
      <x:c r="V38" s="29" t="str">
        <x:v>No reliable commercial signal from the available data.</x:v>
      </x:c>
      <x:c r="W38" s="29" t="str">
        <x:v>Resolve identity and current role through a consensual group-admin or direct-message check before any outreach.</x:v>
      </x:c>
      <x:c r="X38" s="29" t="str">
        <x:v>Unassigned</x:v>
      </x:c>
      <x:c r="Y38" s="32" t="n">
        <x:v>46262</x:v>
      </x:c>
      <x:c r="Z38" s="29" t="str">
        <x:v>Not recorded — internal CRM only</x:v>
      </x:c>
      <x:c r="AA38" s="29" t="str">
        <x:v>Phone / closed-group source; human review required</x:v>
      </x:c>
      <x:c r="AB38" s="29" t="str">
        <x:v>Unqualified / research pending</x:v>
      </x:c>
      <x:c r="AC38" s="29" t="str"/>
      <x:c r="AD38" s="29" t="str">
        <x:f>E38&amp;" | "&amp;J38&amp;" | "&amp;K38&amp;" | "&amp;F38</x:f>
        <x:v>Nataliia (surname unknown) | — | — | ‎+380672719148</x:v>
      </x:c>
      <x:c r="AE38" s="31" t="n">
        <x:f>(IF(OR(O38="Confirmed",O38="Confirmed — phone matched"),2,IF(OR(O38="Self-identified",O38="Probable"),1,0))+IF(J38&lt;&gt;"—",1,0)+IF(K38&lt;&gt;"—",1,0)+IF(L38&lt;&gt;"To classify",1,0)+IF(OR(M38&lt;&gt;"",N38&lt;&gt;""),1,0)+IF(H38&lt;&gt;"",1,0)+IF(AB38&lt;&gt;"",1,0)+IF(X38&lt;&gt;"Unassigned",1,0))/9</x:f>
        <x:v>0.1111111111111111</x:v>
      </x:c>
    </x:row>
    <x:row r="39">
      <x:c r="A39" s="45" t="n">
        <x:v>35</x:v>
      </x:c>
      <x:c r="B39" s="29" t="str">
        <x:v>WhatsApp</x:v>
      </x:c>
      <x:c r="C39" s="29" t="str">
        <x:v>ISRM Ukraine</x:v>
      </x:c>
      <x:c r="D39" s="29" t="str">
        <x:v>Nataliia</x:v>
      </x:c>
      <x:c r="E39" s="29" t="str">
        <x:v>Nataliia (surname unknown)</x:v>
      </x:c>
      <x:c r="F39" s="29" t="str">
        <x:v>‎+380984947127</x:v>
      </x:c>
      <x:c r="G39" s="29" t="str">
        <x:v>Ukraine</x:v>
      </x:c>
      <x:c r="H39" s="29"/>
      <x:c r="I39" s="29"/>
      <x:c r="J39" s="29" t="str">
        <x:v>—</x:v>
      </x:c>
      <x:c r="K39" s="29" t="str">
        <x:v>—</x:v>
      </x:c>
      <x:c r="L39" s="29" t="str">
        <x:v>To classify</x:v>
      </x:c>
      <x:c r="M39" s="29"/>
      <x:c r="N39" s="29"/>
      <x:c r="O39" s="29" t="str">
        <x:v>Partial</x:v>
      </x:c>
      <x:c r="P39" s="29" t="str">
        <x:v>Low</x:v>
      </x:c>
      <x:c r="Q39" s="46" t="str">
        <x:v>No</x:v>
      </x:c>
      <x:c r="R39" s="29" t="str">
        <x:v>Member / participant</x:v>
      </x:c>
      <x:c r="S39" s="29" t="str">
        <x:v>Unqualified / research pending</x:v>
      </x:c>
      <x:c r="T39" s="29" t="str">
        <x:v>Identity completion pending</x:v>
      </x:c>
      <x:c r="U39" s="29" t="str">
        <x:v>Low</x:v>
      </x:c>
      <x:c r="V39" s="29" t="str">
        <x:v>No reliable commercial signal from the available data.</x:v>
      </x:c>
      <x:c r="W39" s="29" t="str">
        <x:v>Resolve identity and current role through a consensual group-admin or direct-message check before any outreach.</x:v>
      </x:c>
      <x:c r="X39" s="29" t="str">
        <x:v>Unassigned</x:v>
      </x:c>
      <x:c r="Y39" s="32" t="n">
        <x:v>46262</x:v>
      </x:c>
      <x:c r="Z39" s="29" t="str">
        <x:v>Not recorded — internal CRM only</x:v>
      </x:c>
      <x:c r="AA39" s="29" t="str">
        <x:v>Phone / closed-group source; human review required</x:v>
      </x:c>
      <x:c r="AB39" s="29" t="str">
        <x:v>Unqualified / research pending</x:v>
      </x:c>
      <x:c r="AC39" s="29" t="str"/>
      <x:c r="AD39" s="29" t="str">
        <x:f>E39&amp;" | "&amp;J39&amp;" | "&amp;K39&amp;" | "&amp;F39</x:f>
        <x:v>Nataliia (surname unknown) | — | — | ‎+380984947127</x:v>
      </x:c>
      <x:c r="AE39" s="31" t="n">
        <x:f>(IF(OR(O39="Confirmed",O39="Confirmed — phone matched"),2,IF(OR(O39="Self-identified",O39="Probable"),1,0))+IF(J39&lt;&gt;"—",1,0)+IF(K39&lt;&gt;"—",1,0)+IF(L39&lt;&gt;"To classify",1,0)+IF(OR(M39&lt;&gt;"",N39&lt;&gt;""),1,0)+IF(H39&lt;&gt;"",1,0)+IF(AB39&lt;&gt;"",1,0)+IF(X39&lt;&gt;"Unassigned",1,0))/9</x:f>
        <x:v>0.1111111111111111</x:v>
      </x:c>
    </x:row>
    <x:row r="40">
      <x:c r="A40" s="45" t="n">
        <x:v>36</x:v>
      </x:c>
      <x:c r="B40" s="29" t="str">
        <x:v>WhatsApp</x:v>
      </x:c>
      <x:c r="C40" s="29" t="str">
        <x:v>ISRM Ukraine</x:v>
      </x:c>
      <x:c r="D40" s="29" t="str">
        <x:v>Nataliia Hrabska</x:v>
      </x:c>
      <x:c r="E40" s="29" t="str">
        <x:v>Nataliia Hrabska</x:v>
      </x:c>
      <x:c r="F40" s="29" t="str">
        <x:v>‎+380995527210</x:v>
      </x:c>
      <x:c r="G40" s="29" t="str">
        <x:v>Ukraine</x:v>
      </x:c>
      <x:c r="H40" s="29"/>
      <x:c r="I40" s="29"/>
      <x:c r="J40" s="29" t="str">
        <x:v>INSO / ISRM Ukraine</x:v>
      </x:c>
      <x:c r="K40" s="29" t="str">
        <x:v>Training Officer and Security Specialist; Women in Strategic Risk and Young Professionals</x:v>
      </x:c>
      <x:c r="L40" s="29" t="str">
        <x:v>Security / risk / resilience</x:v>
      </x:c>
      <x:c r="M40" s="29" t="str">
        <x:v>https://ca.linkedin.com/in/nataliia-hrabska-71396b252</x:v>
      </x:c>
      <x:c r="N40" s="29"/>
      <x:c r="O40" s="29" t="str">
        <x:v>Confirmed</x:v>
      </x:c>
      <x:c r="P40" s="29" t="str">
        <x:v>High</x:v>
      </x:c>
      <x:c r="Q40" s="46" t="str">
        <x:v>No</x:v>
      </x:c>
      <x:c r="R40" s="29" t="str">
        <x:v>Chapter team / community organiser</x:v>
      </x:c>
      <x:c r="S40" s="29" t="str">
        <x:v>Connector / community multiplier</x:v>
      </x:c>
      <x:c r="T40" s="29" t="str">
        <x:v>Verified profile</x:v>
      </x:c>
      <x:c r="U40" s="29" t="str">
        <x:v>Medium</x:v>
      </x:c>
      <x:c r="V40" s="29" t="str">
        <x:v>Strong NGO security connector and ISRM network participant.</x:v>
      </x:c>
      <x:c r="W40" s="29" t="str">
        <x:v>Seek introductions to NGO country directors and security decision-makers.</x:v>
      </x:c>
      <x:c r="X40" s="29" t="str">
        <x:v>Unassigned</x:v>
      </x:c>
      <x:c r="Y40" s="32" t="n">
        <x:v>46262</x:v>
      </x:c>
      <x:c r="Z40" s="29" t="str">
        <x:v>Not recorded — internal CRM only</x:v>
      </x:c>
      <x:c r="AA40" s="29" t="str">
        <x:v>Phone / closed-group source; human review required</x:v>
      </x:c>
      <x:c r="AB40" s="29" t="str">
        <x:v>Security / risk / resilience; Security, strategic risk and crisis management; Connector / community multiplier</x:v>
      </x:c>
      <x:c r="AC40" s="29" t="str">
        <x:v>INSO, Women in Security</x:v>
      </x:c>
      <x:c r="AD40" s="29" t="str">
        <x:f>E40&amp;" | "&amp;J40&amp;" | "&amp;K40&amp;" | "&amp;F40</x:f>
        <x:v>Nataliia Hrabska | INSO / ISRM Ukraine | Training Officer and Security Specialist; Women in Strategic Risk and Young Professionals | ‎+380995527210</x:v>
      </x:c>
      <x:c r="AE40" s="31" t="n">
        <x:f>(IF(OR(O40="Confirmed",O40="Confirmed — phone matched"),2,IF(OR(O40="Self-identified",O40="Probable"),1,0))+IF(J40&lt;&gt;"—",1,0)+IF(K40&lt;&gt;"—",1,0)+IF(L40&lt;&gt;"To classify",1,0)+IF(OR(M40&lt;&gt;"",N40&lt;&gt;""),1,0)+IF(H40&lt;&gt;"",1,0)+IF(AB40&lt;&gt;"",1,0)+IF(X40&lt;&gt;"Unassigned",1,0))/9</x:f>
        <x:v>0.7777777777777778</x:v>
      </x:c>
    </x:row>
    <x:row r="41">
      <x:c r="A41" s="45" t="n">
        <x:v>37</x:v>
      </x:c>
      <x:c r="B41" s="29" t="str">
        <x:v>WhatsApp</x:v>
      </x:c>
      <x:c r="C41" s="29" t="str">
        <x:v>ISRM Ukraine</x:v>
      </x:c>
      <x:c r="D41" s="29" t="str">
        <x:v>NB</x:v>
      </x:c>
      <x:c r="E41" s="29" t="str">
        <x:v>Nick Bennett</x:v>
      </x:c>
      <x:c r="F41" s="29" t="str">
        <x:v>‎+380955579722</x:v>
      </x:c>
      <x:c r="G41" s="29" t="str">
        <x:v>Ukraine</x:v>
      </x:c>
      <x:c r="H41" s="29"/>
      <x:c r="I41" s="29"/>
      <x:c r="J41" s="29" t="str">
        <x:v>Iqarus / International SOS</x:v>
      </x:c>
      <x:c r="K41" s="29" t="str">
        <x:v>Country Director</x:v>
      </x:c>
      <x:c r="L41" s="29" t="str">
        <x:v>Business / advisory</x:v>
      </x:c>
      <x:c r="M41" s="29"/>
      <x:c r="N41" s="29"/>
      <x:c r="O41" s="29" t="str">
        <x:v>Self-identified</x:v>
      </x:c>
      <x:c r="P41" s="29" t="str">
        <x:v>Medium-high</x:v>
      </x:c>
      <x:c r="Q41" s="46" t="str">
        <x:v>No</x:v>
      </x:c>
      <x:c r="R41" s="29" t="str">
        <x:v>Member / participant</x:v>
      </x:c>
      <x:c r="S41" s="29" t="str">
        <x:v>Potential client</x:v>
      </x:c>
      <x:c r="T41" s="29" t="str">
        <x:v>Identity stated; professional verification pending</x:v>
      </x:c>
      <x:c r="U41" s="29" t="str">
        <x:v>High</x:v>
      </x:c>
      <x:c r="V41" s="29" t="str">
        <x:v>Country-level decision-maker in medical/security services; cross-border contracting and regulatory needs likely.</x:v>
      </x:c>
      <x:c r="W41" s="29" t="str">
        <x:v>Validate current employer, then propose a discussion on Ukraine legal and compliance support.</x:v>
      </x:c>
      <x:c r="X41" s="29" t="str">
        <x:v>Unassigned</x:v>
      </x:c>
      <x:c r="Y41" s="32" t="n">
        <x:v>46262</x:v>
      </x:c>
      <x:c r="Z41" s="29" t="str">
        <x:v>Not recorded — internal CRM only</x:v>
      </x:c>
      <x:c r="AA41" s="29" t="str">
        <x:v>Phone / closed-group source; human review required</x:v>
      </x:c>
      <x:c r="AB41" s="29" t="str">
        <x:v>Business / advisory; Leadership, advisory and business continuity; Potential client</x:v>
      </x:c>
      <x:c r="AC41" s="29" t="str">
        <x:v>Nick Bennett, CD, Iqarus-ISOS</x:v>
      </x:c>
      <x:c r="AD41" s="29" t="str">
        <x:f>E41&amp;" | "&amp;J41&amp;" | "&amp;K41&amp;" | "&amp;F41</x:f>
        <x:v>Nick Bennett | Iqarus / International SOS | Country Director | ‎+380955579722</x:v>
      </x:c>
      <x:c r="AE41" s="31" t="n">
        <x:f>(IF(OR(O41="Confirmed",O41="Confirmed — phone matched"),2,IF(OR(O41="Self-identified",O41="Probable"),1,0))+IF(J41&lt;&gt;"—",1,0)+IF(K41&lt;&gt;"—",1,0)+IF(L41&lt;&gt;"To classify",1,0)+IF(OR(M41&lt;&gt;"",N41&lt;&gt;""),1,0)+IF(H41&lt;&gt;"",1,0)+IF(AB41&lt;&gt;"",1,0)+IF(X41&lt;&gt;"Unassigned",1,0))/9</x:f>
        <x:v>0.5555555555555556</x:v>
      </x:c>
    </x:row>
    <x:row r="42">
      <x:c r="A42" s="45" t="n">
        <x:v>38</x:v>
      </x:c>
      <x:c r="B42" s="29" t="str">
        <x:v>WhatsApp</x:v>
      </x:c>
      <x:c r="C42" s="29" t="str">
        <x:v>ISRM Ukraine</x:v>
      </x:c>
      <x:c r="D42" s="29" t="str">
        <x:v>Niamh</x:v>
      </x:c>
      <x:c r="E42" s="29" t="str">
        <x:v>Niamh (surname unknown)</x:v>
      </x:c>
      <x:c r="F42" s="29" t="str">
        <x:v>‎+380938219364</x:v>
      </x:c>
      <x:c r="G42" s="29" t="str">
        <x:v>Ukraine</x:v>
      </x:c>
      <x:c r="H42" s="29"/>
      <x:c r="I42" s="29"/>
      <x:c r="J42" s="29" t="str">
        <x:v>—</x:v>
      </x:c>
      <x:c r="K42" s="29" t="str">
        <x:v>—</x:v>
      </x:c>
      <x:c r="L42" s="29" t="str">
        <x:v>To classify</x:v>
      </x:c>
      <x:c r="M42" s="29"/>
      <x:c r="N42" s="29"/>
      <x:c r="O42" s="29" t="str">
        <x:v>Partial</x:v>
      </x:c>
      <x:c r="P42" s="29" t="str">
        <x:v>Low</x:v>
      </x:c>
      <x:c r="Q42" s="46" t="str">
        <x:v>No</x:v>
      </x:c>
      <x:c r="R42" s="29" t="str">
        <x:v>Member / participant</x:v>
      </x:c>
      <x:c r="S42" s="29" t="str">
        <x:v>Unqualified / research pending</x:v>
      </x:c>
      <x:c r="T42" s="29" t="str">
        <x:v>Identity completion pending</x:v>
      </x:c>
      <x:c r="U42" s="29" t="str">
        <x:v>Low</x:v>
      </x:c>
      <x:c r="V42" s="29" t="str">
        <x:v>No reliable commercial signal from the available data.</x:v>
      </x:c>
      <x:c r="W42" s="29" t="str">
        <x:v>Resolve identity and current role through a consensual group-admin or direct-message check before any outreach.</x:v>
      </x:c>
      <x:c r="X42" s="29" t="str">
        <x:v>Unassigned</x:v>
      </x:c>
      <x:c r="Y42" s="32" t="n">
        <x:v>46262</x:v>
      </x:c>
      <x:c r="Z42" s="29" t="str">
        <x:v>Not recorded — internal CRM only</x:v>
      </x:c>
      <x:c r="AA42" s="29" t="str">
        <x:v>Phone / closed-group source; human review required</x:v>
      </x:c>
      <x:c r="AB42" s="29" t="str">
        <x:v>Unqualified / research pending</x:v>
      </x:c>
      <x:c r="AC42" s="29" t="str"/>
      <x:c r="AD42" s="29" t="str">
        <x:f>E42&amp;" | "&amp;J42&amp;" | "&amp;K42&amp;" | "&amp;F42</x:f>
        <x:v>Niamh (surname unknown) | — | — | ‎+380938219364</x:v>
      </x:c>
      <x:c r="AE42" s="31" t="n">
        <x:f>(IF(OR(O42="Confirmed",O42="Confirmed — phone matched"),2,IF(OR(O42="Self-identified",O42="Probable"),1,0))+IF(J42&lt;&gt;"—",1,0)+IF(K42&lt;&gt;"—",1,0)+IF(L42&lt;&gt;"To classify",1,0)+IF(OR(M42&lt;&gt;"",N42&lt;&gt;""),1,0)+IF(H42&lt;&gt;"",1,0)+IF(AB42&lt;&gt;"",1,0)+IF(X42&lt;&gt;"Unassigned",1,0))/9</x:f>
        <x:v>0.1111111111111111</x:v>
      </x:c>
    </x:row>
    <x:row r="43">
      <x:c r="A43" s="45" t="n">
        <x:v>39</x:v>
      </x:c>
      <x:c r="B43" s="29" t="str">
        <x:v>WhatsApp</x:v>
      </x:c>
      <x:c r="C43" s="29" t="str">
        <x:v>ISRM Ukraine</x:v>
      </x:c>
      <x:c r="D43" s="29" t="str">
        <x:v>No Name</x:v>
      </x:c>
      <x:c r="E43" s="29" t="str">
        <x:v>Identity unresolved</x:v>
      </x:c>
      <x:c r="F43" s="29" t="str">
        <x:v>‎+380933858801</x:v>
      </x:c>
      <x:c r="G43" s="29" t="str">
        <x:v>Ukraine</x:v>
      </x:c>
      <x:c r="H43" s="29"/>
      <x:c r="I43" s="29"/>
      <x:c r="J43" s="29" t="str">
        <x:v>—</x:v>
      </x:c>
      <x:c r="K43" s="29" t="str">
        <x:v>—</x:v>
      </x:c>
      <x:c r="L43" s="29" t="str">
        <x:v>To classify</x:v>
      </x:c>
      <x:c r="M43" s="29"/>
      <x:c r="N43" s="29"/>
      <x:c r="O43" s="29" t="str">
        <x:v>Partial</x:v>
      </x:c>
      <x:c r="P43" s="29" t="str">
        <x:v>Low</x:v>
      </x:c>
      <x:c r="Q43" s="46" t="str">
        <x:v>No</x:v>
      </x:c>
      <x:c r="R43" s="29" t="str">
        <x:v>Member / participant</x:v>
      </x:c>
      <x:c r="S43" s="29" t="str">
        <x:v>Unqualified / research pending</x:v>
      </x:c>
      <x:c r="T43" s="29" t="str">
        <x:v>Identity completion pending</x:v>
      </x:c>
      <x:c r="U43" s="29" t="str">
        <x:v>Low</x:v>
      </x:c>
      <x:c r="V43" s="29" t="str">
        <x:v>No reliable commercial signal from the available data.</x:v>
      </x:c>
      <x:c r="W43" s="29" t="str">
        <x:v>Resolve identity and current role through a consensual group-admin or direct-message check before any outreach.</x:v>
      </x:c>
      <x:c r="X43" s="29" t="str">
        <x:v>Unassigned</x:v>
      </x:c>
      <x:c r="Y43" s="32" t="n">
        <x:v>46262</x:v>
      </x:c>
      <x:c r="Z43" s="29" t="str">
        <x:v>Not recorded — internal CRM only</x:v>
      </x:c>
      <x:c r="AA43" s="29" t="str">
        <x:v>Phone / closed-group source; human review required</x:v>
      </x:c>
      <x:c r="AB43" s="29" t="str">
        <x:v>Unqualified / research pending</x:v>
      </x:c>
      <x:c r="AC43" s="29" t="str"/>
      <x:c r="AD43" s="29" t="str">
        <x:f>E43&amp;" | "&amp;J43&amp;" | "&amp;K43&amp;" | "&amp;F43</x:f>
        <x:v>Identity unresolved | — | — | ‎+380933858801</x:v>
      </x:c>
      <x:c r="AE43" s="31" t="n">
        <x:f>(IF(OR(O43="Confirmed",O43="Confirmed — phone matched"),2,IF(OR(O43="Self-identified",O43="Probable"),1,0))+IF(J43&lt;&gt;"—",1,0)+IF(K43&lt;&gt;"—",1,0)+IF(L43&lt;&gt;"To classify",1,0)+IF(OR(M43&lt;&gt;"",N43&lt;&gt;""),1,0)+IF(H43&lt;&gt;"",1,0)+IF(AB43&lt;&gt;"",1,0)+IF(X43&lt;&gt;"Unassigned",1,0))/9</x:f>
        <x:v>0.1111111111111111</x:v>
      </x:c>
    </x:row>
    <x:row r="44">
      <x:c r="A44" s="45" t="n">
        <x:v>40</x:v>
      </x:c>
      <x:c r="B44" s="29" t="str">
        <x:v>WhatsApp</x:v>
      </x:c>
      <x:c r="C44" s="29" t="str">
        <x:v>ISRM Ukraine</x:v>
      </x:c>
      <x:c r="D44" s="29" t="str">
        <x:v>Oks.Le</x:v>
      </x:c>
      <x:c r="E44" s="29" t="str">
        <x:v>Oksana Leonova</x:v>
      </x:c>
      <x:c r="F44" s="29" t="str">
        <x:v>‎+380998972400</x:v>
      </x:c>
      <x:c r="G44" s="29" t="str">
        <x:v>Ukraine</x:v>
      </x:c>
      <x:c r="H44" s="29"/>
      <x:c r="I44" s="29"/>
      <x:c r="J44" s="29" t="str">
        <x:v>3xPC</x:v>
      </x:c>
      <x:c r="K44" s="29" t="str">
        <x:v>Operations Manager</x:v>
      </x:c>
      <x:c r="L44" s="29" t="str">
        <x:v>Business / advisory</x:v>
      </x:c>
      <x:c r="M44" s="29" t="str">
        <x:v>https://ua.linkedin.com/pub/dir/%2B/Leonova/ua-0-Ukraine/</x:v>
      </x:c>
      <x:c r="N44" s="29"/>
      <x:c r="O44" s="29" t="str">
        <x:v>Probable</x:v>
      </x:c>
      <x:c r="P44" s="29" t="str">
        <x:v>Medium-high</x:v>
      </x:c>
      <x:c r="Q44" s="46" t="str">
        <x:v>No</x:v>
      </x:c>
      <x:c r="R44" s="29" t="str">
        <x:v>Institutional partner candidate</x:v>
      </x:c>
      <x:c r="S44" s="29" t="str">
        <x:v>Potential partner / referral</x:v>
      </x:c>
      <x:c r="T44" s="29" t="str">
        <x:v>Match verification pending</x:v>
      </x:c>
      <x:c r="U44" s="29" t="str">
        <x:v>High</x:v>
      </x:c>
      <x:c r="V44" s="29" t="str">
        <x:v>Operations role in protection/security ecosystem; useful buyer and referral contact.</x:v>
      </x:c>
      <x:c r="W44" s="29" t="str">
        <x:v>Confirm current title, then propose operational legal support and reciprocal referrals.</x:v>
      </x:c>
      <x:c r="X44" s="29" t="str">
        <x:v>Unassigned</x:v>
      </x:c>
      <x:c r="Y44" s="32" t="n">
        <x:v>46262</x:v>
      </x:c>
      <x:c r="Z44" s="29" t="str">
        <x:v>Not recorded — internal CRM only</x:v>
      </x:c>
      <x:c r="AA44" s="29" t="str">
        <x:v>Phone / closed-group source; human review required</x:v>
      </x:c>
      <x:c r="AB44" s="29" t="str">
        <x:v>Business / advisory; Leadership, advisory and business continuity; Potential partner / referral</x:v>
      </x:c>
      <x:c r="AC44" s="29" t="str">
        <x:v>Oksana Ops Manager 3xPC</x:v>
      </x:c>
      <x:c r="AD44" s="29" t="str">
        <x:f>E44&amp;" | "&amp;J44&amp;" | "&amp;K44&amp;" | "&amp;F44</x:f>
        <x:v>Oksana Leonova | 3xPC | Operations Manager | ‎+380998972400</x:v>
      </x:c>
      <x:c r="AE44" s="31" t="n">
        <x:f>(IF(OR(O44="Confirmed",O44="Confirmed — phone matched"),2,IF(OR(O44="Self-identified",O44="Probable"),1,0))+IF(J44&lt;&gt;"—",1,0)+IF(K44&lt;&gt;"—",1,0)+IF(L44&lt;&gt;"To classify",1,0)+IF(OR(M44&lt;&gt;"",N44&lt;&gt;""),1,0)+IF(H44&lt;&gt;"",1,0)+IF(AB44&lt;&gt;"",1,0)+IF(X44&lt;&gt;"Unassigned",1,0))/9</x:f>
        <x:v>0.6666666666666666</x:v>
      </x:c>
    </x:row>
    <x:row r="45">
      <x:c r="A45" s="45" t="n">
        <x:v>41</x:v>
      </x:c>
      <x:c r="B45" s="29" t="str">
        <x:v>WhatsApp</x:v>
      </x:c>
      <x:c r="C45" s="29" t="str">
        <x:v>ISRM Ukraine</x:v>
      </x:c>
      <x:c r="D45" s="29" t="str">
        <x:v>Oleksandr Churkin</x:v>
      </x:c>
      <x:c r="E45" s="29" t="str">
        <x:v>Oleksandr Churkin</x:v>
      </x:c>
      <x:c r="F45" s="29" t="str">
        <x:v>‎+380502785027</x:v>
      </x:c>
      <x:c r="G45" s="29" t="str">
        <x:v>Ukraine</x:v>
      </x:c>
      <x:c r="H45" s="29"/>
      <x:c r="I45" s="29"/>
      <x:c r="J45" s="29" t="str">
        <x:v>IITC / UniTech Ukraine</x:v>
      </x:c>
      <x:c r="K45" s="29" t="str">
        <x:v>Founder and CEO / co-founder</x:v>
      </x:c>
      <x:c r="L45" s="29" t="str">
        <x:v>Business / advisory</x:v>
      </x:c>
      <x:c r="M45" s="29"/>
      <x:c r="N45" s="29" t="str">
        <x:v>https://www.iitc.org.ua/en/about-us/</x:v>
      </x:c>
      <x:c r="O45" s="29" t="str">
        <x:v>Confirmed</x:v>
      </x:c>
      <x:c r="P45" s="29" t="str">
        <x:v>High</x:v>
      </x:c>
      <x:c r="Q45" s="46" t="str">
        <x:v>No</x:v>
      </x:c>
      <x:c r="R45" s="29" t="str">
        <x:v>Member / participant</x:v>
      </x:c>
      <x:c r="S45" s="29" t="str">
        <x:v>Potential client</x:v>
      </x:c>
      <x:c r="T45" s="29" t="str">
        <x:v>Verified profile</x:v>
      </x:c>
      <x:c r="U45" s="29" t="str">
        <x:v>High</x:v>
      </x:c>
      <x:c r="V45" s="29" t="str">
        <x:v>Entrepreneurial and investor-facing profile with likely corporate, IP and transaction needs.</x:v>
      </x:c>
      <x:c r="W45" s="29" t="str">
        <x:v>Tailored partner-level outreach around investment, contracts and Ukraine market entry.</x:v>
      </x:c>
      <x:c r="X45" s="29" t="str">
        <x:v>Unassigned</x:v>
      </x:c>
      <x:c r="Y45" s="32" t="n">
        <x:v>46262</x:v>
      </x:c>
      <x:c r="Z45" s="29" t="str">
        <x:v>Not recorded — internal CRM only</x:v>
      </x:c>
      <x:c r="AA45" s="29" t="str">
        <x:v>Phone / closed-group source; human review required</x:v>
      </x:c>
      <x:c r="AB45" s="29" t="str">
        <x:v>Business / advisory; Leadership, advisory and business continuity; Potential client</x:v>
      </x:c>
      <x:c r="AC45" s="29" t="str"/>
      <x:c r="AD45" s="29" t="str">
        <x:f>E45&amp;" | "&amp;J45&amp;" | "&amp;K45&amp;" | "&amp;F45</x:f>
        <x:v>Oleksandr Churkin | IITC / UniTech Ukraine | Founder and CEO / co-founder | ‎+380502785027</x:v>
      </x:c>
      <x:c r="AE45" s="31" t="n">
        <x:f>(IF(OR(O45="Confirmed",O45="Confirmed — phone matched"),2,IF(OR(O45="Self-identified",O45="Probable"),1,0))+IF(J45&lt;&gt;"—",1,0)+IF(K45&lt;&gt;"—",1,0)+IF(L45&lt;&gt;"To classify",1,0)+IF(OR(M45&lt;&gt;"",N45&lt;&gt;""),1,0)+IF(H45&lt;&gt;"",1,0)+IF(AB45&lt;&gt;"",1,0)+IF(X45&lt;&gt;"Unassigned",1,0))/9</x:f>
        <x:v>0.7777777777777778</x:v>
      </x:c>
    </x:row>
    <x:row r="46">
      <x:c r="A46" s="45" t="n">
        <x:v>42</x:v>
      </x:c>
      <x:c r="B46" s="29" t="str">
        <x:v>WhatsApp</x:v>
      </x:c>
      <x:c r="C46" s="29" t="str">
        <x:v>ISRM Ukraine</x:v>
      </x:c>
      <x:c r="D46" s="29" t="str">
        <x:v>Olena Goroshko</x:v>
      </x:c>
      <x:c r="E46" s="29" t="str">
        <x:v>Olena Goroshko</x:v>
      </x:c>
      <x:c r="F46" s="29" t="str">
        <x:v>‎+380679574758</x:v>
      </x:c>
      <x:c r="G46" s="29" t="str">
        <x:v>Ukraine</x:v>
      </x:c>
      <x:c r="H46" s="29"/>
      <x:c r="I46" s="29"/>
      <x:c r="J46" s="29" t="str">
        <x:v>National Technical University Kharkiv Polytechnic Institute / ISRM Ukraine</x:v>
      </x:c>
      <x:c r="K46" s="29" t="str">
        <x:v>Professor; Partnerships liaison</x:v>
      </x:c>
      <x:c r="L46" s="29" t="str">
        <x:v>To classify</x:v>
      </x:c>
      <x:c r="M46" s="29"/>
      <x:c r="N46" s="29" t="str">
        <x:v>https://www.theisrm.org/international-chapters/ukraine-chapter/</x:v>
      </x:c>
      <x:c r="O46" s="29" t="str">
        <x:v>Confirmed</x:v>
      </x:c>
      <x:c r="P46" s="29" t="str">
        <x:v>High</x:v>
      </x:c>
      <x:c r="Q46" s="46" t="str">
        <x:v>No</x:v>
      </x:c>
      <x:c r="R46" s="29" t="str">
        <x:v>Chapter team / community organiser</x:v>
      </x:c>
      <x:c r="S46" s="29" t="str">
        <x:v>Connector / community multiplier</x:v>
      </x:c>
      <x:c r="T46" s="29" t="str">
        <x:v>Verified profile</x:v>
      </x:c>
      <x:c r="U46" s="29" t="str">
        <x:v>Medium</x:v>
      </x:c>
      <x:c r="V46" s="29" t="str">
        <x:v>Direct route to partnership development inside the chapter.</x:v>
      </x:c>
      <x:c r="W46" s="29" t="str">
        <x:v>Coordinate a structured F&amp;P–ISRM partnership and ask for qualified introductions.</x:v>
      </x:c>
      <x:c r="X46" s="29" t="str">
        <x:v>Unassigned</x:v>
      </x:c>
      <x:c r="Y46" s="32" t="n">
        <x:v>46262</x:v>
      </x:c>
      <x:c r="Z46" s="29" t="str">
        <x:v>Not recorded — internal CRM only</x:v>
      </x:c>
      <x:c r="AA46" s="29" t="str">
        <x:v>Phone / closed-group source; human review required</x:v>
      </x:c>
      <x:c r="AB46" s="29" t="str">
        <x:v>Connector / community multiplier</x:v>
      </x:c>
      <x:c r="AC46" s="29" t="str"/>
      <x:c r="AD46" s="29" t="str">
        <x:f>E46&amp;" | "&amp;J46&amp;" | "&amp;K46&amp;" | "&amp;F46</x:f>
        <x:v>Olena Goroshko | National Technical University Kharkiv Polytechnic Institute / ISRM Ukraine | Professor; Partnerships liaison | ‎+380679574758</x:v>
      </x:c>
      <x:c r="AE46" s="31" t="n">
        <x:f>(IF(OR(O46="Confirmed",O46="Confirmed — phone matched"),2,IF(OR(O46="Self-identified",O46="Probable"),1,0))+IF(J46&lt;&gt;"—",1,0)+IF(K46&lt;&gt;"—",1,0)+IF(L46&lt;&gt;"To classify",1,0)+IF(OR(M46&lt;&gt;"",N46&lt;&gt;""),1,0)+IF(H46&lt;&gt;"",1,0)+IF(AB46&lt;&gt;"",1,0)+IF(X46&lt;&gt;"Unassigned",1,0))/9</x:f>
        <x:v>0.6666666666666666</x:v>
      </x:c>
    </x:row>
    <x:row r="47">
      <x:c r="A47" s="45" t="n">
        <x:v>43</x:v>
      </x:c>
      <x:c r="B47" s="29" t="str">
        <x:v>WhatsApp</x:v>
      </x:c>
      <x:c r="C47" s="29" t="str">
        <x:v>ISRM Ukraine</x:v>
      </x:c>
      <x:c r="D47" s="29" t="str">
        <x:v>Olena Puhach</x:v>
      </x:c>
      <x:c r="E47" s="29" t="str">
        <x:v>Olena Puhach</x:v>
      </x:c>
      <x:c r="F47" s="29" t="str">
        <x:v>‎+380673211296</x:v>
      </x:c>
      <x:c r="G47" s="29" t="str">
        <x:v>Ukraine</x:v>
      </x:c>
      <x:c r="H47" s="29"/>
      <x:c r="I47" s="29"/>
      <x:c r="J47" s="29" t="str">
        <x:v>Nippon Koei</x:v>
      </x:c>
      <x:c r="K47" s="29" t="str">
        <x:v>Resident Business Development Manager</x:v>
      </x:c>
      <x:c r="L47" s="29" t="str">
        <x:v>Business / advisory</x:v>
      </x:c>
      <x:c r="M47" s="29" t="str">
        <x:v>https://ua.linkedin.com/in/olena-puhach</x:v>
      </x:c>
      <x:c r="N47" s="29"/>
      <x:c r="O47" s="29" t="str">
        <x:v>Probable</x:v>
      </x:c>
      <x:c r="P47" s="29" t="str">
        <x:v>Medium-high</x:v>
      </x:c>
      <x:c r="Q47" s="46" t="str">
        <x:v>No</x:v>
      </x:c>
      <x:c r="R47" s="29" t="str">
        <x:v>Member / participant</x:v>
      </x:c>
      <x:c r="S47" s="29" t="str">
        <x:v>Potential client</x:v>
      </x:c>
      <x:c r="T47" s="29" t="str">
        <x:v>Match verification pending</x:v>
      </x:c>
      <x:c r="U47" s="29" t="str">
        <x:v>High</x:v>
      </x:c>
      <x:c r="V47" s="29" t="str">
        <x:v>Infrastructure/reconstruction business development role; strong legal project potential.</x:v>
      </x:c>
      <x:c r="W47" s="29" t="str">
        <x:v>Validate current position and approach around tenders, contracts and project risk.</x:v>
      </x:c>
      <x:c r="X47" s="29" t="str">
        <x:v>Unassigned</x:v>
      </x:c>
      <x:c r="Y47" s="32" t="n">
        <x:v>46262</x:v>
      </x:c>
      <x:c r="Z47" s="29" t="str">
        <x:v>Not recorded — internal CRM only</x:v>
      </x:c>
      <x:c r="AA47" s="29" t="str">
        <x:v>Phone / closed-group source; human review required</x:v>
      </x:c>
      <x:c r="AB47" s="29" t="str">
        <x:v>Business / advisory; Leadership, advisory and business continuity; Potential client</x:v>
      </x:c>
      <x:c r="AC47" s="29" t="str"/>
      <x:c r="AD47" s="29" t="str">
        <x:f>E47&amp;" | "&amp;J47&amp;" | "&amp;K47&amp;" | "&amp;F47</x:f>
        <x:v>Olena Puhach | Nippon Koei | Resident Business Development Manager | ‎+380673211296</x:v>
      </x:c>
      <x:c r="AE47" s="31" t="n">
        <x:f>(IF(OR(O47="Confirmed",O47="Confirmed — phone matched"),2,IF(OR(O47="Self-identified",O47="Probable"),1,0))+IF(J47&lt;&gt;"—",1,0)+IF(K47&lt;&gt;"—",1,0)+IF(L47&lt;&gt;"To classify",1,0)+IF(OR(M47&lt;&gt;"",N47&lt;&gt;""),1,0)+IF(H47&lt;&gt;"",1,0)+IF(AB47&lt;&gt;"",1,0)+IF(X47&lt;&gt;"Unassigned",1,0))/9</x:f>
        <x:v>0.6666666666666666</x:v>
      </x:c>
    </x:row>
    <x:row r="48">
      <x:c r="A48" s="45" t="n">
        <x:v>44</x:v>
      </x:c>
      <x:c r="B48" s="29" t="str">
        <x:v>WhatsApp</x:v>
      </x:c>
      <x:c r="C48" s="29" t="str">
        <x:v>ISRM Ukraine</x:v>
      </x:c>
      <x:c r="D48" s="29" t="str">
        <x:v>Olga Kasyan</x:v>
      </x:c>
      <x:c r="E48" s="29" t="str">
        <x:v>Olga Kasyan</x:v>
      </x:c>
      <x:c r="F48" s="29" t="str">
        <x:v>‎+380939813055</x:v>
      </x:c>
      <x:c r="G48" s="29" t="str">
        <x:v>Ukraine</x:v>
      </x:c>
      <x:c r="H48" s="29"/>
      <x:c r="I48" s="29"/>
      <x:c r="J48" s="29" t="str">
        <x:v>—</x:v>
      </x:c>
      <x:c r="K48" s="29" t="str">
        <x:v>—</x:v>
      </x:c>
      <x:c r="L48" s="29" t="str">
        <x:v>To classify</x:v>
      </x:c>
      <x:c r="M48" s="29"/>
      <x:c r="N48" s="29"/>
      <x:c r="O48" s="29" t="str">
        <x:v>Self-identified</x:v>
      </x:c>
      <x:c r="P48" s="29" t="str">
        <x:v>Medium</x:v>
      </x:c>
      <x:c r="Q48" s="46" t="str">
        <x:v>No</x:v>
      </x:c>
      <x:c r="R48" s="29" t="str">
        <x:v>Member / participant</x:v>
      </x:c>
      <x:c r="S48" s="29" t="str">
        <x:v>Member / verify</x:v>
      </x:c>
      <x:c r="T48" s="29" t="str">
        <x:v>Identity stated; professional verification pending</x:v>
      </x:c>
      <x:c r="U48" s="29" t="str">
        <x:v>Medium</x:v>
      </x:c>
      <x:c r="V48" s="29" t="str">
        <x:v>Full name but insufficient professional evidence.</x:v>
      </x:c>
      <x:c r="W48" s="29" t="str">
        <x:v>Confirm organization and decision-making remit.</x:v>
      </x:c>
      <x:c r="X48" s="29" t="str">
        <x:v>Unassigned</x:v>
      </x:c>
      <x:c r="Y48" s="32" t="n">
        <x:v>46262</x:v>
      </x:c>
      <x:c r="Z48" s="29" t="str">
        <x:v>Not recorded — internal CRM only</x:v>
      </x:c>
      <x:c r="AA48" s="29" t="str">
        <x:v>Phone / closed-group source; human review required</x:v>
      </x:c>
      <x:c r="AB48" s="29" t="str">
        <x:v>Member / verify</x:v>
      </x:c>
      <x:c r="AC48" s="29" t="str"/>
      <x:c r="AD48" s="29" t="str">
        <x:f>E48&amp;" | "&amp;J48&amp;" | "&amp;K48&amp;" | "&amp;F48</x:f>
        <x:v>Olga Kasyan | — | — | ‎+380939813055</x:v>
      </x:c>
      <x:c r="AE48" s="31" t="n">
        <x:f>(IF(OR(O48="Confirmed",O48="Confirmed — phone matched"),2,IF(OR(O48="Self-identified",O48="Probable"),1,0))+IF(J48&lt;&gt;"—",1,0)+IF(K48&lt;&gt;"—",1,0)+IF(L48&lt;&gt;"To classify",1,0)+IF(OR(M48&lt;&gt;"",N48&lt;&gt;""),1,0)+IF(H48&lt;&gt;"",1,0)+IF(AB48&lt;&gt;"",1,0)+IF(X48&lt;&gt;"Unassigned",1,0))/9</x:f>
        <x:v>0.2222222222222222</x:v>
      </x:c>
    </x:row>
    <x:row r="49">
      <x:c r="A49" s="45" t="n">
        <x:v>45</x:v>
      </x:c>
      <x:c r="B49" s="29" t="str">
        <x:v>WhatsApp</x:v>
      </x:c>
      <x:c r="C49" s="29" t="str">
        <x:v>ISRM Ukraine</x:v>
      </x:c>
      <x:c r="D49" s="29" t="str">
        <x:v>Otter</x:v>
      </x:c>
      <x:c r="E49" s="29" t="str">
        <x:v>Peter Ott</x:v>
      </x:c>
      <x:c r="F49" s="29" t="str">
        <x:v>‎+353866059139</x:v>
      </x:c>
      <x:c r="G49" s="29" t="str">
        <x:v>Ireland</x:v>
      </x:c>
      <x:c r="H49" s="29"/>
      <x:c r="I49" s="29"/>
      <x:c r="J49" s="29" t="str">
        <x:v>ISRM Ukraine / humanitarian security sector</x:v>
      </x:c>
      <x:c r="K49" s="29" t="str">
        <x:v>Young Professionals and Mentoring Adviser</x:v>
      </x:c>
      <x:c r="L49" s="29" t="str">
        <x:v>Business / advisory</x:v>
      </x:c>
      <x:c r="M49" s="29"/>
      <x:c r="N49" s="29" t="str">
        <x:v>https://www.theisrm.org/international-chapters/ukraine-chapter/</x:v>
      </x:c>
      <x:c r="O49" s="29" t="str">
        <x:v>Confirmed</x:v>
      </x:c>
      <x:c r="P49" s="29" t="str">
        <x:v>High</x:v>
      </x:c>
      <x:c r="Q49" s="46" t="str">
        <x:v>Yes</x:v>
      </x:c>
      <x:c r="R49" s="29" t="str">
        <x:v>Group administrator / community organiser</x:v>
      </x:c>
      <x:c r="S49" s="29" t="str">
        <x:v>Connector / community multiplier</x:v>
      </x:c>
      <x:c r="T49" s="29" t="str">
        <x:v>Verified profile</x:v>
      </x:c>
      <x:c r="U49" s="29" t="str">
        <x:v>Medium</x:v>
      </x:c>
      <x:c r="V49" s="29" t="str">
        <x:v>ISRM network-builder with access to emerging risk professionals and member companies.</x:v>
      </x:c>
      <x:c r="W49" s="29" t="str">
        <x:v>Use for chapter coordination and targeted introductions.</x:v>
      </x:c>
      <x:c r="X49" s="29" t="str">
        <x:v>Unassigned</x:v>
      </x:c>
      <x:c r="Y49" s="32" t="n">
        <x:v>46262</x:v>
      </x:c>
      <x:c r="Z49" s="29" t="str">
        <x:v>Not recorded — internal CRM only</x:v>
      </x:c>
      <x:c r="AA49" s="29" t="str">
        <x:v>Phone / closed-group source; human review required</x:v>
      </x:c>
      <x:c r="AB49" s="29" t="str">
        <x:v>Business / advisory; Leadership, advisory and business continuity; Connector / community multiplier</x:v>
      </x:c>
      <x:c r="AC49" s="29" t="str">
        <x:v>Peter.O - Y P and M Advisor</x:v>
      </x:c>
      <x:c r="AD49" s="29" t="str">
        <x:f>E49&amp;" | "&amp;J49&amp;" | "&amp;K49&amp;" | "&amp;F49</x:f>
        <x:v>Peter Ott | ISRM Ukraine / humanitarian security sector | Young Professionals and Mentoring Adviser | ‎+353866059139</x:v>
      </x:c>
      <x:c r="AE49" s="31" t="n">
        <x:f>(IF(OR(O49="Confirmed",O49="Confirmed — phone matched"),2,IF(OR(O49="Self-identified",O49="Probable"),1,0))+IF(J49&lt;&gt;"—",1,0)+IF(K49&lt;&gt;"—",1,0)+IF(L49&lt;&gt;"To classify",1,0)+IF(OR(M49&lt;&gt;"",N49&lt;&gt;""),1,0)+IF(H49&lt;&gt;"",1,0)+IF(AB49&lt;&gt;"",1,0)+IF(X49&lt;&gt;"Unassigned",1,0))/9</x:f>
        <x:v>0.7777777777777778</x:v>
      </x:c>
    </x:row>
    <x:row r="50">
      <x:c r="A50" s="45" t="n">
        <x:v>46</x:v>
      </x:c>
      <x:c r="B50" s="29" t="str">
        <x:v>WhatsApp</x:v>
      </x:c>
      <x:c r="C50" s="29" t="str">
        <x:v>ISRM Ukraine</x:v>
      </x:c>
      <x:c r="D50" s="29" t="str">
        <x:v>PAUL</x:v>
      </x:c>
      <x:c r="E50" s="29" t="str">
        <x:v>Paul Radiy</x:v>
      </x:c>
      <x:c r="F50" s="29" t="str">
        <x:v>‎+380950462513</x:v>
      </x:c>
      <x:c r="G50" s="29" t="str">
        <x:v>Ukraine</x:v>
      </x:c>
      <x:c r="H50" s="29"/>
      <x:c r="I50" s="29"/>
      <x:c r="J50" s="29" t="str">
        <x:v>—</x:v>
      </x:c>
      <x:c r="K50" s="29" t="str">
        <x:v>—</x:v>
      </x:c>
      <x:c r="L50" s="29" t="str">
        <x:v>To classify</x:v>
      </x:c>
      <x:c r="M50" s="29"/>
      <x:c r="N50" s="29"/>
      <x:c r="O50" s="29" t="str">
        <x:v>Self-identified</x:v>
      </x:c>
      <x:c r="P50" s="29" t="str">
        <x:v>Medium</x:v>
      </x:c>
      <x:c r="Q50" s="46" t="str">
        <x:v>No</x:v>
      </x:c>
      <x:c r="R50" s="29" t="str">
        <x:v>Member / participant</x:v>
      </x:c>
      <x:c r="S50" s="29" t="str">
        <x:v>Member / verify</x:v>
      </x:c>
      <x:c r="T50" s="29" t="str">
        <x:v>Identity stated; professional verification pending</x:v>
      </x:c>
      <x:c r="U50" s="29" t="str">
        <x:v>Medium</x:v>
      </x:c>
      <x:c r="V50" s="29" t="str">
        <x:v>Name recovered from WhatsApp status; role remains unknown.</x:v>
      </x:c>
      <x:c r="W50" s="29" t="str">
        <x:v>Confirm employer and sector before outreach.</x:v>
      </x:c>
      <x:c r="X50" s="29" t="str">
        <x:v>Unassigned</x:v>
      </x:c>
      <x:c r="Y50" s="32" t="n">
        <x:v>46262</x:v>
      </x:c>
      <x:c r="Z50" s="29" t="str">
        <x:v>Not recorded — internal CRM only</x:v>
      </x:c>
      <x:c r="AA50" s="29" t="str">
        <x:v>Phone / closed-group source; human review required</x:v>
      </x:c>
      <x:c r="AB50" s="29" t="str">
        <x:v>Member / verify</x:v>
      </x:c>
      <x:c r="AC50" s="29" t="str">
        <x:v>Radiy</x:v>
      </x:c>
      <x:c r="AD50" s="29" t="str">
        <x:f>E50&amp;" | "&amp;J50&amp;" | "&amp;K50&amp;" | "&amp;F50</x:f>
        <x:v>Paul Radiy | — | — | ‎+380950462513</x:v>
      </x:c>
      <x:c r="AE50" s="31" t="n">
        <x:f>(IF(OR(O50="Confirmed",O50="Confirmed — phone matched"),2,IF(OR(O50="Self-identified",O50="Probable"),1,0))+IF(J50&lt;&gt;"—",1,0)+IF(K50&lt;&gt;"—",1,0)+IF(L50&lt;&gt;"To classify",1,0)+IF(OR(M50&lt;&gt;"",N50&lt;&gt;""),1,0)+IF(H50&lt;&gt;"",1,0)+IF(AB50&lt;&gt;"",1,0)+IF(X50&lt;&gt;"Unassigned",1,0))/9</x:f>
        <x:v>0.2222222222222222</x:v>
      </x:c>
    </x:row>
    <x:row r="51">
      <x:c r="A51" s="45" t="n">
        <x:v>47</x:v>
      </x:c>
      <x:c r="B51" s="29" t="str">
        <x:v>WhatsApp</x:v>
      </x:c>
      <x:c r="C51" s="29" t="str">
        <x:v>ISRM Ukraine</x:v>
      </x:c>
      <x:c r="D51" s="29" t="str">
        <x:v>Peter</x:v>
      </x:c>
      <x:c r="E51" s="29" t="str">
        <x:v>Peter (surname unknown)</x:v>
      </x:c>
      <x:c r="F51" s="29" t="str">
        <x:v>‎+420733268433</x:v>
      </x:c>
      <x:c r="G51" s="29" t="str">
        <x:v>Czechia</x:v>
      </x:c>
      <x:c r="H51" s="29"/>
      <x:c r="I51" s="29"/>
      <x:c r="J51" s="29" t="str">
        <x:v>—</x:v>
      </x:c>
      <x:c r="K51" s="29" t="str">
        <x:v>—</x:v>
      </x:c>
      <x:c r="L51" s="29" t="str">
        <x:v>To classify</x:v>
      </x:c>
      <x:c r="M51" s="29"/>
      <x:c r="N51" s="29"/>
      <x:c r="O51" s="29" t="str">
        <x:v>Partial</x:v>
      </x:c>
      <x:c r="P51" s="29" t="str">
        <x:v>Low</x:v>
      </x:c>
      <x:c r="Q51" s="46" t="str">
        <x:v>No</x:v>
      </x:c>
      <x:c r="R51" s="29" t="str">
        <x:v>Member / participant</x:v>
      </x:c>
      <x:c r="S51" s="29" t="str">
        <x:v>Unqualified / research pending</x:v>
      </x:c>
      <x:c r="T51" s="29" t="str">
        <x:v>Identity completion pending</x:v>
      </x:c>
      <x:c r="U51" s="29" t="str">
        <x:v>Low</x:v>
      </x:c>
      <x:c r="V51" s="29" t="str">
        <x:v>No reliable commercial signal from the available data.</x:v>
      </x:c>
      <x:c r="W51" s="29" t="str">
        <x:v>Resolve identity and current role through a consensual group-admin or direct-message check before any outreach.</x:v>
      </x:c>
      <x:c r="X51" s="29" t="str">
        <x:v>Unassigned</x:v>
      </x:c>
      <x:c r="Y51" s="32" t="n">
        <x:v>46262</x:v>
      </x:c>
      <x:c r="Z51" s="29" t="str">
        <x:v>Not recorded — internal CRM only</x:v>
      </x:c>
      <x:c r="AA51" s="29" t="str">
        <x:v>Phone / closed-group source; human review required</x:v>
      </x:c>
      <x:c r="AB51" s="29" t="str">
        <x:v>Unqualified / research pending</x:v>
      </x:c>
      <x:c r="AC51" s="29" t="str"/>
      <x:c r="AD51" s="29" t="str">
        <x:f>E51&amp;" | "&amp;J51&amp;" | "&amp;K51&amp;" | "&amp;F51</x:f>
        <x:v>Peter (surname unknown) | — | — | ‎+420733268433</x:v>
      </x:c>
      <x:c r="AE51" s="31" t="n">
        <x:f>(IF(OR(O51="Confirmed",O51="Confirmed — phone matched"),2,IF(OR(O51="Self-identified",O51="Probable"),1,0))+IF(J51&lt;&gt;"—",1,0)+IF(K51&lt;&gt;"—",1,0)+IF(L51&lt;&gt;"To classify",1,0)+IF(OR(M51&lt;&gt;"",N51&lt;&gt;""),1,0)+IF(H51&lt;&gt;"",1,0)+IF(AB51&lt;&gt;"",1,0)+IF(X51&lt;&gt;"Unassigned",1,0))/9</x:f>
        <x:v>0.1111111111111111</x:v>
      </x:c>
    </x:row>
    <x:row r="52">
      <x:c r="A52" s="45" t="n">
        <x:v>48</x:v>
      </x:c>
      <x:c r="B52" s="29" t="str">
        <x:v>WhatsApp</x:v>
      </x:c>
      <x:c r="C52" s="29" t="str">
        <x:v>ISRM Ukraine</x:v>
      </x:c>
      <x:c r="D52" s="29" t="str">
        <x:v>Petro Babyak</x:v>
      </x:c>
      <x:c r="E52" s="29" t="str">
        <x:v>Petro Babyak</x:v>
      </x:c>
      <x:c r="F52" s="29" t="str">
        <x:v>‎+380666244443</x:v>
      </x:c>
      <x:c r="G52" s="29" t="str">
        <x:v>Ukraine</x:v>
      </x:c>
      <x:c r="H52" s="29"/>
      <x:c r="I52" s="29"/>
      <x:c r="J52" s="29" t="str">
        <x:v>Mercy Corps</x:v>
      </x:c>
      <x:c r="K52" s="29" t="str">
        <x:v>Security, Safety and Access Director</x:v>
      </x:c>
      <x:c r="L52" s="29" t="str">
        <x:v>Security / risk / resilience</x:v>
      </x:c>
      <x:c r="M52" s="29" t="str">
        <x:v>https://ua.linkedin.com/in/petro-babyak-srmp-c-75701427</x:v>
      </x:c>
      <x:c r="N52" s="29"/>
      <x:c r="O52" s="29" t="str">
        <x:v>Confirmed</x:v>
      </x:c>
      <x:c r="P52" s="29" t="str">
        <x:v>High</x:v>
      </x:c>
      <x:c r="Q52" s="46" t="str">
        <x:v>No</x:v>
      </x:c>
      <x:c r="R52" s="29" t="str">
        <x:v>Member / participant</x:v>
      </x:c>
      <x:c r="S52" s="29" t="str">
        <x:v>Potential client</x:v>
      </x:c>
      <x:c r="T52" s="29" t="str">
        <x:v>Verified profile</x:v>
      </x:c>
      <x:c r="U52" s="29" t="str">
        <x:v>High</x:v>
      </x:c>
      <x:c r="V52" s="29" t="str">
        <x:v>Senior humanitarian security leader with procurement, contracting and duty-of-care exposure.</x:v>
      </x:c>
      <x:c r="W52" s="29" t="str">
        <x:v>Warm approach on NGO legal support, compliance, investigations and incident response.</x:v>
      </x:c>
      <x:c r="X52" s="29" t="str">
        <x:v>Unassigned</x:v>
      </x:c>
      <x:c r="Y52" s="32" t="n">
        <x:v>46262</x:v>
      </x:c>
      <x:c r="Z52" s="29" t="str">
        <x:v>Not recorded — internal CRM only</x:v>
      </x:c>
      <x:c r="AA52" s="29" t="str">
        <x:v>Phone / closed-group source; human review required</x:v>
      </x:c>
      <x:c r="AB52" s="29" t="str">
        <x:v>Security / risk / resilience; Security, strategic risk and crisis management; Potential client</x:v>
      </x:c>
      <x:c r="AC52" s="29" t="str">
        <x:v>Petro Babyak, Mercy Corps SDir</x:v>
      </x:c>
      <x:c r="AD52" s="29" t="str">
        <x:f>E52&amp;" | "&amp;J52&amp;" | "&amp;K52&amp;" | "&amp;F52</x:f>
        <x:v>Petro Babyak | Mercy Corps | Security, Safety and Access Director | ‎+380666244443</x:v>
      </x:c>
      <x:c r="AE52" s="31" t="n">
        <x:f>(IF(OR(O52="Confirmed",O52="Confirmed — phone matched"),2,IF(OR(O52="Self-identified",O52="Probable"),1,0))+IF(J52&lt;&gt;"—",1,0)+IF(K52&lt;&gt;"—",1,0)+IF(L52&lt;&gt;"To classify",1,0)+IF(OR(M52&lt;&gt;"",N52&lt;&gt;""),1,0)+IF(H52&lt;&gt;"",1,0)+IF(AB52&lt;&gt;"",1,0)+IF(X52&lt;&gt;"Unassigned",1,0))/9</x:f>
        <x:v>0.7777777777777778</x:v>
      </x:c>
    </x:row>
    <x:row r="53">
      <x:c r="A53" s="45" t="n">
        <x:v>49</x:v>
      </x:c>
      <x:c r="B53" s="29" t="str">
        <x:v>WhatsApp</x:v>
      </x:c>
      <x:c r="C53" s="29" t="str">
        <x:v>ISRM Ukraine</x:v>
      </x:c>
      <x:c r="D53" s="29" t="str">
        <x:v>profbilousov</x:v>
      </x:c>
      <x:c r="E53" s="29" t="str">
        <x:v>Yurii Bilousov</x:v>
      </x:c>
      <x:c r="F53" s="29" t="str">
        <x:v>‎+380963546093</x:v>
      </x:c>
      <x:c r="G53" s="29" t="str">
        <x:v>Ukraine</x:v>
      </x:c>
      <x:c r="H53" s="29"/>
      <x:c r="I53" s="29"/>
      <x:c r="J53" s="29" t="str">
        <x:v>Yuzkov University</x:v>
      </x:c>
      <x:c r="K53" s="29" t="str">
        <x:v>Academic / professor</x:v>
      </x:c>
      <x:c r="L53" s="29" t="str">
        <x:v>Academia / research</x:v>
      </x:c>
      <x:c r="M53" s="29"/>
      <x:c r="N53" s="29"/>
      <x:c r="O53" s="29" t="str">
        <x:v>Self-identified</x:v>
      </x:c>
      <x:c r="P53" s="29" t="str">
        <x:v>Medium-high</x:v>
      </x:c>
      <x:c r="Q53" s="46" t="str">
        <x:v>No</x:v>
      </x:c>
      <x:c r="R53" s="29" t="str">
        <x:v>Member / participant</x:v>
      </x:c>
      <x:c r="S53" s="29" t="str">
        <x:v>Member / verify</x:v>
      </x:c>
      <x:c r="T53" s="29" t="str">
        <x:v>Identity stated; professional verification pending</x:v>
      </x:c>
      <x:c r="U53" s="29" t="str">
        <x:v>Medium</x:v>
      </x:c>
      <x:c r="V53" s="29" t="str">
        <x:v>Academic and legal-policy connector; limited direct buying evidence.</x:v>
      </x:c>
      <x:c r="W53" s="29" t="str">
        <x:v>Validate institution and engage on research or referrals.</x:v>
      </x:c>
      <x:c r="X53" s="29" t="str">
        <x:v>Unassigned</x:v>
      </x:c>
      <x:c r="Y53" s="32" t="n">
        <x:v>46262</x:v>
      </x:c>
      <x:c r="Z53" s="29" t="str">
        <x:v>Not recorded — internal CRM only</x:v>
      </x:c>
      <x:c r="AA53" s="29" t="str">
        <x:v>Phone / closed-group source; human review required</x:v>
      </x:c>
      <x:c r="AB53" s="29" t="str">
        <x:v>Academia / research; Research, education and knowledge transfer; Member / verify</x:v>
      </x:c>
      <x:c r="AC53" s="29" t="str">
        <x:v>Yurii Bilousov (YuzkovUniver)</x:v>
      </x:c>
      <x:c r="AD53" s="29" t="str">
        <x:f>E53&amp;" | "&amp;J53&amp;" | "&amp;K53&amp;" | "&amp;F53</x:f>
        <x:v>Yurii Bilousov | Yuzkov University | Academic / professor | ‎+380963546093</x:v>
      </x:c>
      <x:c r="AE53" s="31" t="n">
        <x:f>(IF(OR(O53="Confirmed",O53="Confirmed — phone matched"),2,IF(OR(O53="Self-identified",O53="Probable"),1,0))+IF(J53&lt;&gt;"—",1,0)+IF(K53&lt;&gt;"—",1,0)+IF(L53&lt;&gt;"To classify",1,0)+IF(OR(M53&lt;&gt;"",N53&lt;&gt;""),1,0)+IF(H53&lt;&gt;"",1,0)+IF(AB53&lt;&gt;"",1,0)+IF(X53&lt;&gt;"Unassigned",1,0))/9</x:f>
        <x:v>0.5555555555555556</x:v>
      </x:c>
    </x:row>
    <x:row r="54">
      <x:c r="A54" s="45" t="n">
        <x:v>50</x:v>
      </x:c>
      <x:c r="B54" s="29" t="str">
        <x:v>WhatsApp</x:v>
      </x:c>
      <x:c r="C54" s="29" t="str">
        <x:v>ISRM Ukraine</x:v>
      </x:c>
      <x:c r="D54" s="29" t="str">
        <x:v>R The i</x:v>
      </x:c>
      <x:c r="E54" s="29" t="str">
        <x:v>John Price</x:v>
      </x:c>
      <x:c r="F54" s="29" t="str">
        <x:v>‎+380660684056</x:v>
      </x:c>
      <x:c r="G54" s="29" t="str">
        <x:v>Ukraine</x:v>
      </x:c>
      <x:c r="H54" s="29"/>
      <x:c r="I54" s="29"/>
      <x:c r="J54" s="29" t="str">
        <x:v>ISRM Ukraine / humanitarian security sector</x:v>
      </x:c>
      <x:c r="K54" s="29" t="str">
        <x:v>Ukraine Chapter Advisory; security professional</x:v>
      </x:c>
      <x:c r="L54" s="29" t="str">
        <x:v>Security / risk / resilience</x:v>
      </x:c>
      <x:c r="M54" s="29"/>
      <x:c r="N54" s="29" t="str">
        <x:v>https://www.theisrm.org/international-chapters/ukraine-chapter/</x:v>
      </x:c>
      <x:c r="O54" s="29" t="str">
        <x:v>Confirmed</x:v>
      </x:c>
      <x:c r="P54" s="29" t="str">
        <x:v>High</x:v>
      </x:c>
      <x:c r="Q54" s="46" t="str">
        <x:v>Yes</x:v>
      </x:c>
      <x:c r="R54" s="29" t="str">
        <x:v>Group administrator / community organiser</x:v>
      </x:c>
      <x:c r="S54" s="29" t="str">
        <x:v>Potential partner / referral</x:v>
      </x:c>
      <x:c r="T54" s="29" t="str">
        <x:v>Verified profile</x:v>
      </x:c>
      <x:c r="U54" s="29" t="str">
        <x:v>High</x:v>
      </x:c>
      <x:c r="V54" s="29" t="str">
        <x:v>Core security ecosystem contact with referral and joint-delivery potential.</x:v>
      </x:c>
      <x:c r="W54" s="29" t="str">
        <x:v>Coordinate an F&amp;P capability exchange and referral protocol.</x:v>
      </x:c>
      <x:c r="X54" s="29" t="str">
        <x:v>Unassigned</x:v>
      </x:c>
      <x:c r="Y54" s="32" t="n">
        <x:v>46262</x:v>
      </x:c>
      <x:c r="Z54" s="29" t="str">
        <x:v>Not recorded — internal CRM only</x:v>
      </x:c>
      <x:c r="AA54" s="29" t="str">
        <x:v>Phone / closed-group source; human review required</x:v>
      </x:c>
      <x:c r="AB54" s="29" t="str">
        <x:v>Security / risk / resilience; Security, strategic risk and crisis management; Potential partner / referral</x:v>
      </x:c>
      <x:c r="AC54" s="29" t="str">
        <x:v>John Price 3xPC Допомагаючи іншим, допомагайте іншим</x:v>
      </x:c>
      <x:c r="AD54" s="29" t="str">
        <x:f>E54&amp;" | "&amp;J54&amp;" | "&amp;K54&amp;" | "&amp;F54</x:f>
        <x:v>John Price | ISRM Ukraine / humanitarian security sector | Ukraine Chapter Advisory; security professional | ‎+380660684056</x:v>
      </x:c>
      <x:c r="AE54" s="31" t="n">
        <x:f>(IF(OR(O54="Confirmed",O54="Confirmed — phone matched"),2,IF(OR(O54="Self-identified",O54="Probable"),1,0))+IF(J54&lt;&gt;"—",1,0)+IF(K54&lt;&gt;"—",1,0)+IF(L54&lt;&gt;"To classify",1,0)+IF(OR(M54&lt;&gt;"",N54&lt;&gt;""),1,0)+IF(H54&lt;&gt;"",1,0)+IF(AB54&lt;&gt;"",1,0)+IF(X54&lt;&gt;"Unassigned",1,0))/9</x:f>
        <x:v>0.7777777777777778</x:v>
      </x:c>
    </x:row>
    <x:row r="55">
      <x:c r="A55" s="45" t="n">
        <x:v>51</x:v>
      </x:c>
      <x:c r="B55" s="29" t="str">
        <x:v>WhatsApp</x:v>
      </x:c>
      <x:c r="C55" s="29" t="str">
        <x:v>ISRM Ukraine</x:v>
      </x:c>
      <x:c r="D55" s="29" t="str">
        <x:v>Ran Drori</x:v>
      </x:c>
      <x:c r="E55" s="29" t="str">
        <x:v>Ran Drori</x:v>
      </x:c>
      <x:c r="F55" s="29" t="str">
        <x:v>‎+380930919735</x:v>
      </x:c>
      <x:c r="G55" s="29" t="str">
        <x:v>Ukraine</x:v>
      </x:c>
      <x:c r="H55" s="29"/>
      <x:c r="I55" s="29"/>
      <x:c r="J55" s="29" t="str">
        <x:v>—</x:v>
      </x:c>
      <x:c r="K55" s="29" t="str">
        <x:v>—</x:v>
      </x:c>
      <x:c r="L55" s="29" t="str">
        <x:v>To classify</x:v>
      </x:c>
      <x:c r="M55" s="29"/>
      <x:c r="N55" s="29"/>
      <x:c r="O55" s="29" t="str">
        <x:v>Self-identified</x:v>
      </x:c>
      <x:c r="P55" s="29" t="str">
        <x:v>Medium</x:v>
      </x:c>
      <x:c r="Q55" s="46" t="str">
        <x:v>No</x:v>
      </x:c>
      <x:c r="R55" s="29" t="str">
        <x:v>Member / participant</x:v>
      </x:c>
      <x:c r="S55" s="29" t="str">
        <x:v>Member / verify</x:v>
      </x:c>
      <x:c r="T55" s="29" t="str">
        <x:v>Identity stated; professional verification pending</x:v>
      </x:c>
      <x:c r="U55" s="29" t="str">
        <x:v>Medium</x:v>
      </x:c>
      <x:c r="V55" s="29" t="str">
        <x:v>Full name available; no reliable current-role match.</x:v>
      </x:c>
      <x:c r="W55" s="29" t="str">
        <x:v>Confirm organization and Ukraine activity.</x:v>
      </x:c>
      <x:c r="X55" s="29" t="str">
        <x:v>Unassigned</x:v>
      </x:c>
      <x:c r="Y55" s="32" t="n">
        <x:v>46262</x:v>
      </x:c>
      <x:c r="Z55" s="29" t="str">
        <x:v>Not recorded — internal CRM only</x:v>
      </x:c>
      <x:c r="AA55" s="29" t="str">
        <x:v>Phone / closed-group source; human review required</x:v>
      </x:c>
      <x:c r="AB55" s="29" t="str">
        <x:v>Member / verify</x:v>
      </x:c>
      <x:c r="AC55" s="29" t="str"/>
      <x:c r="AD55" s="29" t="str">
        <x:f>E55&amp;" | "&amp;J55&amp;" | "&amp;K55&amp;" | "&amp;F55</x:f>
        <x:v>Ran Drori | — | — | ‎+380930919735</x:v>
      </x:c>
      <x:c r="AE55" s="31" t="n">
        <x:f>(IF(OR(O55="Confirmed",O55="Confirmed — phone matched"),2,IF(OR(O55="Self-identified",O55="Probable"),1,0))+IF(J55&lt;&gt;"—",1,0)+IF(K55&lt;&gt;"—",1,0)+IF(L55&lt;&gt;"To classify",1,0)+IF(OR(M55&lt;&gt;"",N55&lt;&gt;""),1,0)+IF(H55&lt;&gt;"",1,0)+IF(AB55&lt;&gt;"",1,0)+IF(X55&lt;&gt;"Unassigned",1,0))/9</x:f>
        <x:v>0.2222222222222222</x:v>
      </x:c>
    </x:row>
    <x:row r="56">
      <x:c r="A56" s="45" t="n">
        <x:v>52</x:v>
      </x:c>
      <x:c r="B56" s="29" t="str">
        <x:v>WhatsApp</x:v>
      </x:c>
      <x:c r="C56" s="29" t="str">
        <x:v>ISRM Ukraine</x:v>
      </x:c>
      <x:c r="D56" s="29" t="str">
        <x:v>Revaz Tchirakadze</x:v>
      </x:c>
      <x:c r="E56" s="29" t="str">
        <x:v>Revaz Tchirakadze</x:v>
      </x:c>
      <x:c r="F56" s="29" t="str">
        <x:v>‎+995599610903</x:v>
      </x:c>
      <x:c r="G56" s="29" t="str">
        <x:v>Georgia</x:v>
      </x:c>
      <x:c r="H56" s="29"/>
      <x:c r="I56" s="29"/>
      <x:c r="J56" s="29" t="str">
        <x:v>OSCE Support Programme for Ukraine</x:v>
      </x:c>
      <x:c r="K56" s="29" t="str">
        <x:v>Security Officer</x:v>
      </x:c>
      <x:c r="L56" s="29" t="str">
        <x:v>Security / risk / resilience</x:v>
      </x:c>
      <x:c r="M56" s="29"/>
      <x:c r="N56" s="29" t="str">
        <x:v>https://www.osce.org/node/662803</x:v>
      </x:c>
      <x:c r="O56" s="29" t="str">
        <x:v>Confirmed</x:v>
      </x:c>
      <x:c r="P56" s="29" t="str">
        <x:v>High</x:v>
      </x:c>
      <x:c r="Q56" s="46" t="str">
        <x:v>No</x:v>
      </x:c>
      <x:c r="R56" s="29" t="str">
        <x:v>Connector / community multiplier</x:v>
      </x:c>
      <x:c r="S56" s="29" t="str">
        <x:v>Connector / community multiplier</x:v>
      </x:c>
      <x:c r="T56" s="29" t="str">
        <x:v>Verified profile</x:v>
      </x:c>
      <x:c r="U56" s="29" t="str">
        <x:v>Medium</x:v>
      </x:c>
      <x:c r="V56" s="29" t="str">
        <x:v>Institutional security contact; useful for ecosystem access, subject to procurement constraints.</x:v>
      </x:c>
      <x:c r="W56" s="29" t="str">
        <x:v>Relationship-first outreach; explore expert exchange rather than a direct sales pitch.</x:v>
      </x:c>
      <x:c r="X56" s="29" t="str">
        <x:v>Unassigned</x:v>
      </x:c>
      <x:c r="Y56" s="32" t="n">
        <x:v>46262</x:v>
      </x:c>
      <x:c r="Z56" s="29" t="str">
        <x:v>Not recorded — internal CRM only</x:v>
      </x:c>
      <x:c r="AA56" s="29" t="str">
        <x:v>Phone / closed-group source; human review required</x:v>
      </x:c>
      <x:c r="AB56" s="29" t="str">
        <x:v>Security / risk / resilience; Security, strategic risk and crisis management; Connector / community multiplier</x:v>
      </x:c>
      <x:c r="AC56" s="29" t="str">
        <x:v>OSCE Security officer</x:v>
      </x:c>
      <x:c r="AD56" s="29" t="str">
        <x:f>E56&amp;" | "&amp;J56&amp;" | "&amp;K56&amp;" | "&amp;F56</x:f>
        <x:v>Revaz Tchirakadze | OSCE Support Programme for Ukraine | Security Officer | ‎+995599610903</x:v>
      </x:c>
      <x:c r="AE56" s="31" t="n">
        <x:f>(IF(OR(O56="Confirmed",O56="Confirmed — phone matched"),2,IF(OR(O56="Self-identified",O56="Probable"),1,0))+IF(J56&lt;&gt;"—",1,0)+IF(K56&lt;&gt;"—",1,0)+IF(L56&lt;&gt;"To classify",1,0)+IF(OR(M56&lt;&gt;"",N56&lt;&gt;""),1,0)+IF(H56&lt;&gt;"",1,0)+IF(AB56&lt;&gt;"",1,0)+IF(X56&lt;&gt;"Unassigned",1,0))/9</x:f>
        <x:v>0.7777777777777778</x:v>
      </x:c>
    </x:row>
    <x:row r="57">
      <x:c r="A57" s="45" t="n">
        <x:v>53</x:v>
      </x:c>
      <x:c r="B57" s="29" t="str">
        <x:v>WhatsApp</x:v>
      </x:c>
      <x:c r="C57" s="29" t="str">
        <x:v>ISRM Ukraine</x:v>
      </x:c>
      <x:c r="D57" s="29" t="str">
        <x:v>Robin Seaword</x:v>
      </x:c>
      <x:c r="E57" s="29" t="str">
        <x:v>Robin Seaword</x:v>
      </x:c>
      <x:c r="F57" s="29" t="str">
        <x:v>‎+447504139336</x:v>
      </x:c>
      <x:c r="G57" s="29" t="str">
        <x:v>United Kingdom</x:v>
      </x:c>
      <x:c r="H57" s="29"/>
      <x:c r="I57" s="29"/>
      <x:c r="J57" s="29" t="str">
        <x:v>SSR Consulting</x:v>
      </x:c>
      <x:c r="K57" s="29" t="str">
        <x:v>Security Sector Reform consultant</x:v>
      </x:c>
      <x:c r="L57" s="29" t="str">
        <x:v>Security / risk / resilience</x:v>
      </x:c>
      <x:c r="M57" s="29" t="str">
        <x:v>https://uk.linkedin.com/in/robinseaword</x:v>
      </x:c>
      <x:c r="N57" s="29"/>
      <x:c r="O57" s="29" t="str">
        <x:v>Confirmed</x:v>
      </x:c>
      <x:c r="P57" s="29" t="str">
        <x:v>High</x:v>
      </x:c>
      <x:c r="Q57" s="46" t="str">
        <x:v>No</x:v>
      </x:c>
      <x:c r="R57" s="29" t="str">
        <x:v>Institutional partner candidate</x:v>
      </x:c>
      <x:c r="S57" s="29" t="str">
        <x:v>Potential partner / referral</x:v>
      </x:c>
      <x:c r="T57" s="29" t="str">
        <x:v>Verified profile</x:v>
      </x:c>
      <x:c r="U57" s="29" t="str">
        <x:v>High</x:v>
      </x:c>
      <x:c r="V57" s="29" t="str">
        <x:v>Independent SSR consultant with likely consortium and referral opportunities.</x:v>
      </x:c>
      <x:c r="W57" s="29" t="str">
        <x:v>Propose teaming on governance, investigations and rule-of-law assignments.</x:v>
      </x:c>
      <x:c r="X57" s="29" t="str">
        <x:v>Unassigned</x:v>
      </x:c>
      <x:c r="Y57" s="32" t="n">
        <x:v>46262</x:v>
      </x:c>
      <x:c r="Z57" s="29" t="str">
        <x:v>Not recorded — internal CRM only</x:v>
      </x:c>
      <x:c r="AA57" s="29" t="str">
        <x:v>Phone / closed-group source; human review required</x:v>
      </x:c>
      <x:c r="AB57" s="29" t="str">
        <x:v>Security / risk / resilience; Security, strategic risk and crisis management; Potential partner / referral</x:v>
      </x:c>
      <x:c r="AC57" s="29" t="str">
        <x:v>SSR Consultant</x:v>
      </x:c>
      <x:c r="AD57" s="29" t="str">
        <x:f>E57&amp;" | "&amp;J57&amp;" | "&amp;K57&amp;" | "&amp;F57</x:f>
        <x:v>Robin Seaword | SSR Consulting | Security Sector Reform consultant | ‎+447504139336</x:v>
      </x:c>
      <x:c r="AE57" s="31" t="n">
        <x:f>(IF(OR(O57="Confirmed",O57="Confirmed — phone matched"),2,IF(OR(O57="Self-identified",O57="Probable"),1,0))+IF(J57&lt;&gt;"—",1,0)+IF(K57&lt;&gt;"—",1,0)+IF(L57&lt;&gt;"To classify",1,0)+IF(OR(M57&lt;&gt;"",N57&lt;&gt;""),1,0)+IF(H57&lt;&gt;"",1,0)+IF(AB57&lt;&gt;"",1,0)+IF(X57&lt;&gt;"Unassigned",1,0))/9</x:f>
        <x:v>0.7777777777777778</x:v>
      </x:c>
    </x:row>
    <x:row r="58">
      <x:c r="A58" s="45" t="n">
        <x:v>54</x:v>
      </x:c>
      <x:c r="B58" s="29" t="str">
        <x:v>WhatsApp</x:v>
      </x:c>
      <x:c r="C58" s="29" t="str">
        <x:v>ISRM Ukraine</x:v>
      </x:c>
      <x:c r="D58" s="29" t="str">
        <x:v>Roman</x:v>
      </x:c>
      <x:c r="E58" s="29" t="str">
        <x:v>Roman (surname unknown)</x:v>
      </x:c>
      <x:c r="F58" s="29" t="str">
        <x:v>‎+380968405325</x:v>
      </x:c>
      <x:c r="G58" s="29" t="str">
        <x:v>Ukraine</x:v>
      </x:c>
      <x:c r="H58" s="29"/>
      <x:c r="I58" s="29"/>
      <x:c r="J58" s="29" t="str">
        <x:v>—</x:v>
      </x:c>
      <x:c r="K58" s="29" t="str">
        <x:v>—</x:v>
      </x:c>
      <x:c r="L58" s="29" t="str">
        <x:v>To classify</x:v>
      </x:c>
      <x:c r="M58" s="29"/>
      <x:c r="N58" s="29"/>
      <x:c r="O58" s="29" t="str">
        <x:v>Partial</x:v>
      </x:c>
      <x:c r="P58" s="29" t="str">
        <x:v>Low</x:v>
      </x:c>
      <x:c r="Q58" s="46" t="str">
        <x:v>No</x:v>
      </x:c>
      <x:c r="R58" s="29" t="str">
        <x:v>Member / participant</x:v>
      </x:c>
      <x:c r="S58" s="29" t="str">
        <x:v>Unqualified / research pending</x:v>
      </x:c>
      <x:c r="T58" s="29" t="str">
        <x:v>Identity completion pending</x:v>
      </x:c>
      <x:c r="U58" s="29" t="str">
        <x:v>Low</x:v>
      </x:c>
      <x:c r="V58" s="29" t="str">
        <x:v>No reliable commercial signal from the available data.</x:v>
      </x:c>
      <x:c r="W58" s="29" t="str">
        <x:v>Resolve identity and current role through a consensual group-admin or direct-message check before any outreach.</x:v>
      </x:c>
      <x:c r="X58" s="29" t="str">
        <x:v>Unassigned</x:v>
      </x:c>
      <x:c r="Y58" s="32" t="n">
        <x:v>46262</x:v>
      </x:c>
      <x:c r="Z58" s="29" t="str">
        <x:v>Not recorded — internal CRM only</x:v>
      </x:c>
      <x:c r="AA58" s="29" t="str">
        <x:v>Phone / closed-group source; human review required</x:v>
      </x:c>
      <x:c r="AB58" s="29" t="str">
        <x:v>Unqualified / research pending</x:v>
      </x:c>
      <x:c r="AC58" s="29" t="str"/>
      <x:c r="AD58" s="29" t="str">
        <x:f>E58&amp;" | "&amp;J58&amp;" | "&amp;K58&amp;" | "&amp;F58</x:f>
        <x:v>Roman (surname unknown) | — | — | ‎+380968405325</x:v>
      </x:c>
      <x:c r="AE58" s="31" t="n">
        <x:f>(IF(OR(O58="Confirmed",O58="Confirmed — phone matched"),2,IF(OR(O58="Self-identified",O58="Probable"),1,0))+IF(J58&lt;&gt;"—",1,0)+IF(K58&lt;&gt;"—",1,0)+IF(L58&lt;&gt;"To classify",1,0)+IF(OR(M58&lt;&gt;"",N58&lt;&gt;""),1,0)+IF(H58&lt;&gt;"",1,0)+IF(AB58&lt;&gt;"",1,0)+IF(X58&lt;&gt;"Unassigned",1,0))/9</x:f>
        <x:v>0.1111111111111111</x:v>
      </x:c>
    </x:row>
    <x:row r="59">
      <x:c r="A59" s="45" t="n">
        <x:v>55</x:v>
      </x:c>
      <x:c r="B59" s="29" t="str">
        <x:v>WhatsApp</x:v>
      </x:c>
      <x:c r="C59" s="29" t="str">
        <x:v>ISRM Ukraine</x:v>
      </x:c>
      <x:c r="D59" s="29" t="str">
        <x:v>Roman Cioma</x:v>
      </x:c>
      <x:c r="E59" s="29" t="str">
        <x:v>Roman Cioma</x:v>
      </x:c>
      <x:c r="F59" s="29" t="str">
        <x:v>‎+380509783661</x:v>
      </x:c>
      <x:c r="G59" s="29" t="str">
        <x:v>Ukraine</x:v>
      </x:c>
      <x:c r="H59" s="29"/>
      <x:c r="I59" s="29"/>
      <x:c r="J59" s="29" t="str">
        <x:v>UN Women Ukraine</x:v>
      </x:c>
      <x:c r="K59" s="29" t="str">
        <x:v>Security Specialist</x:v>
      </x:c>
      <x:c r="L59" s="29" t="str">
        <x:v>Humanitarian / NGO</x:v>
      </x:c>
      <x:c r="M59" s="29" t="str">
        <x:v>https://uk.linkedin.com/in/roman-cioma-2616199</x:v>
      </x:c>
      <x:c r="N59" s="29"/>
      <x:c r="O59" s="29" t="str">
        <x:v>Confirmed</x:v>
      </x:c>
      <x:c r="P59" s="29" t="str">
        <x:v>High</x:v>
      </x:c>
      <x:c r="Q59" s="46" t="str">
        <x:v>No</x:v>
      </x:c>
      <x:c r="R59" s="29" t="str">
        <x:v>Connector / community multiplier</x:v>
      </x:c>
      <x:c r="S59" s="29" t="str">
        <x:v>Connector / community multiplier</x:v>
      </x:c>
      <x:c r="T59" s="29" t="str">
        <x:v>Verified profile</x:v>
      </x:c>
      <x:c r="U59" s="29" t="str">
        <x:v>Medium</x:v>
      </x:c>
      <x:c r="V59" s="29" t="str">
        <x:v>Senior humanitarian/security network; institutional access and referral value.</x:v>
      </x:c>
      <x:c r="W59" s="29" t="str">
        <x:v>Approach via shared security context and ask about legal/compliance gaps in programmes.</x:v>
      </x:c>
      <x:c r="X59" s="29" t="str">
        <x:v>Unassigned</x:v>
      </x:c>
      <x:c r="Y59" s="32" t="n">
        <x:v>46262</x:v>
      </x:c>
      <x:c r="Z59" s="29" t="str">
        <x:v>Not recorded — internal CRM only</x:v>
      </x:c>
      <x:c r="AA59" s="29" t="str">
        <x:v>Phone / closed-group source; human review required</x:v>
      </x:c>
      <x:c r="AB59" s="29" t="str">
        <x:v>Humanitarian / NGO; Humanitarian security and duty of care; Connector / community multiplier</x:v>
      </x:c>
      <x:c r="AC59" s="29" t="str">
        <x:v>Hello. I’m using WhatsApp Business.</x:v>
      </x:c>
      <x:c r="AD59" s="29" t="str">
        <x:f>E59&amp;" | "&amp;J59&amp;" | "&amp;K59&amp;" | "&amp;F59</x:f>
        <x:v>Roman Cioma | UN Women Ukraine | Security Specialist | ‎+380509783661</x:v>
      </x:c>
      <x:c r="AE59" s="31" t="n">
        <x:f>(IF(OR(O59="Confirmed",O59="Confirmed — phone matched"),2,IF(OR(O59="Self-identified",O59="Probable"),1,0))+IF(J59&lt;&gt;"—",1,0)+IF(K59&lt;&gt;"—",1,0)+IF(L59&lt;&gt;"To classify",1,0)+IF(OR(M59&lt;&gt;"",N59&lt;&gt;""),1,0)+IF(H59&lt;&gt;"",1,0)+IF(AB59&lt;&gt;"",1,0)+IF(X59&lt;&gt;"Unassigned",1,0))/9</x:f>
        <x:v>0.7777777777777778</x:v>
      </x:c>
    </x:row>
    <x:row r="60">
      <x:c r="A60" s="45" t="n">
        <x:v>56</x:v>
      </x:c>
      <x:c r="B60" s="29" t="str">
        <x:v>WhatsApp</x:v>
      </x:c>
      <x:c r="C60" s="29" t="str">
        <x:v>ISRM Ukraine</x:v>
      </x:c>
      <x:c r="D60" s="29" t="str">
        <x:v>Roman Guz</x:v>
      </x:c>
      <x:c r="E60" s="29" t="str">
        <x:v>Roman Guz</x:v>
      </x:c>
      <x:c r="F60" s="29" t="str">
        <x:v>‎+380671223776</x:v>
      </x:c>
      <x:c r="G60" s="29" t="str">
        <x:v>Ukraine</x:v>
      </x:c>
      <x:c r="H60" s="29"/>
      <x:c r="I60" s="29"/>
      <x:c r="J60" s="29" t="str">
        <x:v>Hilton Kyiv</x:v>
      </x:c>
      <x:c r="K60" s="29" t="str">
        <x:v>Chief Security</x:v>
      </x:c>
      <x:c r="L60" s="29" t="str">
        <x:v>Security / risk / resilience</x:v>
      </x:c>
      <x:c r="M60" s="29"/>
      <x:c r="N60" s="29"/>
      <x:c r="O60" s="29" t="str">
        <x:v>Self-identified</x:v>
      </x:c>
      <x:c r="P60" s="29" t="str">
        <x:v>Medium-high</x:v>
      </x:c>
      <x:c r="Q60" s="46" t="str">
        <x:v>No</x:v>
      </x:c>
      <x:c r="R60" s="29" t="str">
        <x:v>Member / participant</x:v>
      </x:c>
      <x:c r="S60" s="29" t="str">
        <x:v>Potential client</x:v>
      </x:c>
      <x:c r="T60" s="29" t="str">
        <x:v>Identity stated; professional verification pending</x:v>
      </x:c>
      <x:c r="U60" s="29" t="str">
        <x:v>High</x:v>
      </x:c>
      <x:c r="V60" s="29" t="str">
        <x:v>Corporate security decision-maker in hospitality with compliance and incident-response needs.</x:v>
      </x:c>
      <x:c r="W60" s="29" t="str">
        <x:v>Validate title and propose corporate investigations/employment/compliance support.</x:v>
      </x:c>
      <x:c r="X60" s="29" t="str">
        <x:v>Unassigned</x:v>
      </x:c>
      <x:c r="Y60" s="32" t="n">
        <x:v>46262</x:v>
      </x:c>
      <x:c r="Z60" s="29" t="str">
        <x:v>Not recorded — internal CRM only</x:v>
      </x:c>
      <x:c r="AA60" s="29" t="str">
        <x:v>Phone / closed-group source; human review required</x:v>
      </x:c>
      <x:c r="AB60" s="29" t="str">
        <x:v>Security / risk / resilience; Security, strategic risk and crisis management; Potential client</x:v>
      </x:c>
      <x:c r="AC60" s="29" t="str">
        <x:v>Chief Security</x:v>
      </x:c>
      <x:c r="AD60" s="29" t="str">
        <x:f>E60&amp;" | "&amp;J60&amp;" | "&amp;K60&amp;" | "&amp;F60</x:f>
        <x:v>Roman Guz | Hilton Kyiv | Chief Security | ‎+380671223776</x:v>
      </x:c>
      <x:c r="AE60" s="31" t="n">
        <x:f>(IF(OR(O60="Confirmed",O60="Confirmed — phone matched"),2,IF(OR(O60="Self-identified",O60="Probable"),1,0))+IF(J60&lt;&gt;"—",1,0)+IF(K60&lt;&gt;"—",1,0)+IF(L60&lt;&gt;"To classify",1,0)+IF(OR(M60&lt;&gt;"",N60&lt;&gt;""),1,0)+IF(H60&lt;&gt;"",1,0)+IF(AB60&lt;&gt;"",1,0)+IF(X60&lt;&gt;"Unassigned",1,0))/9</x:f>
        <x:v>0.5555555555555556</x:v>
      </x:c>
    </x:row>
    <x:row r="61">
      <x:c r="A61" s="45" t="n">
        <x:v>57</x:v>
      </x:c>
      <x:c r="B61" s="29" t="str">
        <x:v>WhatsApp</x:v>
      </x:c>
      <x:c r="C61" s="29" t="str">
        <x:v>ISRM Ukraine</x:v>
      </x:c>
      <x:c r="D61" s="29" t="str">
        <x:v>Rudy Vandaele-Kennedy</x:v>
      </x:c>
      <x:c r="E61" s="29" t="str">
        <x:v>Rudy Vandaele-Kennedy</x:v>
      </x:c>
      <x:c r="F61" s="29" t="str">
        <x:v>‎+447768585054</x:v>
      </x:c>
      <x:c r="G61" s="29" t="str">
        <x:v>United Kingdom</x:v>
      </x:c>
      <x:c r="H61" s="29"/>
      <x:c r="I61" s="29"/>
      <x:c r="J61" s="29" t="str">
        <x:v>Cadro</x:v>
      </x:c>
      <x:c r="K61" s="29" t="str">
        <x:v>Senior Client Adviser</x:v>
      </x:c>
      <x:c r="L61" s="29" t="str">
        <x:v>Business / advisory</x:v>
      </x:c>
      <x:c r="M61" s="29" t="str">
        <x:v>https://www.linkedin.com/posts/cadrotech_a-very-warm-welcome-to-cadros-newest-senior-activity-7445474569886253056-R8JN</x:v>
      </x:c>
      <x:c r="N61" s="29"/>
      <x:c r="O61" s="29" t="str">
        <x:v>Confirmed</x:v>
      </x:c>
      <x:c r="P61" s="29" t="str">
        <x:v>High</x:v>
      </x:c>
      <x:c r="Q61" s="46" t="str">
        <x:v>No</x:v>
      </x:c>
      <x:c r="R61" s="29" t="str">
        <x:v>Member / participant</x:v>
      </x:c>
      <x:c r="S61" s="29" t="str">
        <x:v>Potential client</x:v>
      </x:c>
      <x:c r="T61" s="29" t="str">
        <x:v>Verified profile</x:v>
      </x:c>
      <x:c r="U61" s="29" t="str">
        <x:v>High</x:v>
      </x:c>
      <x:c r="V61" s="29" t="str">
        <x:v>Strategic advisory and wealth/business network; potential cross-border and referral work.</x:v>
      </x:c>
      <x:c r="W61" s="29" t="str">
        <x:v>Senior relationship approach focused on cross-border structuring and mutual referrals.</x:v>
      </x:c>
      <x:c r="X61" s="29" t="str">
        <x:v>Unassigned</x:v>
      </x:c>
      <x:c r="Y61" s="32" t="n">
        <x:v>46262</x:v>
      </x:c>
      <x:c r="Z61" s="29" t="str">
        <x:v>Not recorded — internal CRM only</x:v>
      </x:c>
      <x:c r="AA61" s="29" t="str">
        <x:v>Phone / closed-group source; human review required</x:v>
      </x:c>
      <x:c r="AB61" s="29" t="str">
        <x:v>Business / advisory; Leadership, advisory and business continuity; Potential client</x:v>
      </x:c>
      <x:c r="AC61" s="29" t="str">
        <x:v>Strategic Advisory</x:v>
      </x:c>
      <x:c r="AD61" s="29" t="str">
        <x:f>E61&amp;" | "&amp;J61&amp;" | "&amp;K61&amp;" | "&amp;F61</x:f>
        <x:v>Rudy Vandaele-Kennedy | Cadro | Senior Client Adviser | ‎+447768585054</x:v>
      </x:c>
      <x:c r="AE61" s="31" t="n">
        <x:f>(IF(OR(O61="Confirmed",O61="Confirmed — phone matched"),2,IF(OR(O61="Self-identified",O61="Probable"),1,0))+IF(J61&lt;&gt;"—",1,0)+IF(K61&lt;&gt;"—",1,0)+IF(L61&lt;&gt;"To classify",1,0)+IF(OR(M61&lt;&gt;"",N61&lt;&gt;""),1,0)+IF(H61&lt;&gt;"",1,0)+IF(AB61&lt;&gt;"",1,0)+IF(X61&lt;&gt;"Unassigned",1,0))/9</x:f>
        <x:v>0.7777777777777778</x:v>
      </x:c>
    </x:row>
    <x:row r="62">
      <x:c r="A62" s="45" t="n">
        <x:v>58</x:v>
      </x:c>
      <x:c r="B62" s="29" t="str">
        <x:v>WhatsApp</x:v>
      </x:c>
      <x:c r="C62" s="29" t="str">
        <x:v>ISRM Ukraine</x:v>
      </x:c>
      <x:c r="D62" s="29" t="str">
        <x:v>Rusudan</x:v>
      </x:c>
      <x:c r="E62" s="29" t="str">
        <x:v>Rusudan Makhachashvili</x:v>
      </x:c>
      <x:c r="F62" s="29" t="str">
        <x:v>‎+380667750182</x:v>
      </x:c>
      <x:c r="G62" s="29" t="str">
        <x:v>Ukraine</x:v>
      </x:c>
      <x:c r="H62" s="29"/>
      <x:c r="I62" s="29"/>
      <x:c r="J62" s="29" t="str">
        <x:v>Borys Grinchenko Kyiv Metropolitan University / ISRM Ukraine</x:v>
      </x:c>
      <x:c r="K62" s="29" t="str">
        <x:v>Professor; Academic Liaison</x:v>
      </x:c>
      <x:c r="L62" s="29" t="str">
        <x:v>Academia / research</x:v>
      </x:c>
      <x:c r="M62" s="29"/>
      <x:c r="N62" s="29" t="str">
        <x:v>https://www.researchgate.net/profile/Rusudan-Makhachashvili</x:v>
      </x:c>
      <x:c r="O62" s="29" t="str">
        <x:v>Confirmed</x:v>
      </x:c>
      <x:c r="P62" s="29" t="str">
        <x:v>High</x:v>
      </x:c>
      <x:c r="Q62" s="46" t="str">
        <x:v>Yes</x:v>
      </x:c>
      <x:c r="R62" s="29" t="str">
        <x:v>Group administrator / community organiser</x:v>
      </x:c>
      <x:c r="S62" s="29" t="str">
        <x:v>Connector / community multiplier</x:v>
      </x:c>
      <x:c r="T62" s="29" t="str">
        <x:v>Verified profile</x:v>
      </x:c>
      <x:c r="U62" s="29" t="str">
        <x:v>Medium</x:v>
      </x:c>
      <x:c r="V62" s="29" t="str">
        <x:v>Academic and ISRM connector with broad institutional reach.</x:v>
      </x:c>
      <x:c r="W62" s="29" t="str">
        <x:v>Use for expert events and introductions, not a cold commercial pitch.</x:v>
      </x:c>
      <x:c r="X62" s="29" t="str">
        <x:v>Unassigned</x:v>
      </x:c>
      <x:c r="Y62" s="32" t="n">
        <x:v>46262</x:v>
      </x:c>
      <x:c r="Z62" s="29" t="str">
        <x:v>Not recorded — internal CRM only</x:v>
      </x:c>
      <x:c r="AA62" s="29" t="str">
        <x:v>Phone / closed-group source; human review required</x:v>
      </x:c>
      <x:c r="AB62" s="29" t="str">
        <x:v>Academia / research; Research, education and knowledge transfer; Connector / community multiplier</x:v>
      </x:c>
      <x:c r="AC62" s="29" t="str">
        <x:v>Rusudan Makhachashvili, BGKMU</x:v>
      </x:c>
      <x:c r="AD62" s="29" t="str">
        <x:f>E62&amp;" | "&amp;J62&amp;" | "&amp;K62&amp;" | "&amp;F62</x:f>
        <x:v>Rusudan Makhachashvili | Borys Grinchenko Kyiv Metropolitan University / ISRM Ukraine | Professor; Academic Liaison | ‎+380667750182</x:v>
      </x:c>
      <x:c r="AE62" s="31" t="n">
        <x:f>(IF(OR(O62="Confirmed",O62="Confirmed — phone matched"),2,IF(OR(O62="Self-identified",O62="Probable"),1,0))+IF(J62&lt;&gt;"—",1,0)+IF(K62&lt;&gt;"—",1,0)+IF(L62&lt;&gt;"To classify",1,0)+IF(OR(M62&lt;&gt;"",N62&lt;&gt;""),1,0)+IF(H62&lt;&gt;"",1,0)+IF(AB62&lt;&gt;"",1,0)+IF(X62&lt;&gt;"Unassigned",1,0))/9</x:f>
        <x:v>0.7777777777777778</x:v>
      </x:c>
    </x:row>
    <x:row r="63">
      <x:c r="A63" s="45" t="n">
        <x:v>59</x:v>
      </x:c>
      <x:c r="B63" s="29" t="str">
        <x:v>WhatsApp</x:v>
      </x:c>
      <x:c r="C63" s="29" t="str">
        <x:v>ISRM Ukraine</x:v>
      </x:c>
      <x:c r="D63" s="29" t="str">
        <x:v>S. Murphy</x:v>
      </x:c>
      <x:c r="E63" s="29" t="str">
        <x:v>S. Murphy</x:v>
      </x:c>
      <x:c r="F63" s="29" t="str">
        <x:v>‎+380974959159</x:v>
      </x:c>
      <x:c r="G63" s="29" t="str">
        <x:v>Ukraine</x:v>
      </x:c>
      <x:c r="H63" s="29"/>
      <x:c r="I63" s="29"/>
      <x:c r="J63" s="29" t="str">
        <x:v>OSCE Support Programme for Ukraine</x:v>
      </x:c>
      <x:c r="K63" s="29" t="str">
        <x:v>Senior Security Officer</x:v>
      </x:c>
      <x:c r="L63" s="29" t="str">
        <x:v>Security / risk / resilience</x:v>
      </x:c>
      <x:c r="M63" s="29"/>
      <x:c r="N63" s="29"/>
      <x:c r="O63" s="29" t="str">
        <x:v>Self-identified</x:v>
      </x:c>
      <x:c r="P63" s="29" t="str">
        <x:v>Medium-high</x:v>
      </x:c>
      <x:c r="Q63" s="46" t="str">
        <x:v>No</x:v>
      </x:c>
      <x:c r="R63" s="29" t="str">
        <x:v>Connector / community multiplier</x:v>
      </x:c>
      <x:c r="S63" s="29" t="str">
        <x:v>Connector / community multiplier</x:v>
      </x:c>
      <x:c r="T63" s="29" t="str">
        <x:v>Identity stated; professional verification pending</x:v>
      </x:c>
      <x:c r="U63" s="29" t="str">
        <x:v>Medium</x:v>
      </x:c>
      <x:c r="V63" s="29" t="str">
        <x:v>Senior institutional security role; valuable network access but constrained procurement.</x:v>
      </x:c>
      <x:c r="W63" s="29" t="str">
        <x:v>Resolve first name and engage relationship-first.</x:v>
      </x:c>
      <x:c r="X63" s="29" t="str">
        <x:v>Unassigned</x:v>
      </x:c>
      <x:c r="Y63" s="32" t="n">
        <x:v>46262</x:v>
      </x:c>
      <x:c r="Z63" s="29" t="str">
        <x:v>Not recorded — internal CRM only</x:v>
      </x:c>
      <x:c r="AA63" s="29" t="str">
        <x:v>Phone / closed-group source; human review required</x:v>
      </x:c>
      <x:c r="AB63" s="29" t="str">
        <x:v>Security / risk / resilience; Security, strategic risk and crisis management; Connector / community multiplier</x:v>
      </x:c>
      <x:c r="AC63" s="29" t="str">
        <x:v>S Murphy SSO SPU OSCE</x:v>
      </x:c>
      <x:c r="AD63" s="29" t="str">
        <x:f>E63&amp;" | "&amp;J63&amp;" | "&amp;K63&amp;" | "&amp;F63</x:f>
        <x:v>S. Murphy | OSCE Support Programme for Ukraine | Senior Security Officer | ‎+380974959159</x:v>
      </x:c>
      <x:c r="AE63" s="31" t="n">
        <x:f>(IF(OR(O63="Confirmed",O63="Confirmed — phone matched"),2,IF(OR(O63="Self-identified",O63="Probable"),1,0))+IF(J63&lt;&gt;"—",1,0)+IF(K63&lt;&gt;"—",1,0)+IF(L63&lt;&gt;"To classify",1,0)+IF(OR(M63&lt;&gt;"",N63&lt;&gt;""),1,0)+IF(H63&lt;&gt;"",1,0)+IF(AB63&lt;&gt;"",1,0)+IF(X63&lt;&gt;"Unassigned",1,0))/9</x:f>
        <x:v>0.5555555555555556</x:v>
      </x:c>
    </x:row>
    <x:row r="64">
      <x:c r="A64" s="45" t="n">
        <x:v>60</x:v>
      </x:c>
      <x:c r="B64" s="29" t="str">
        <x:v>WhatsApp</x:v>
      </x:c>
      <x:c r="C64" s="29" t="str">
        <x:v>ISRM Ukraine</x:v>
      </x:c>
      <x:c r="D64" s="29" t="str">
        <x:v>Sarah Parsons</x:v>
      </x:c>
      <x:c r="E64" s="29" t="str">
        <x:v>Sarah Parsons</x:v>
      </x:c>
      <x:c r="F64" s="29" t="str">
        <x:v>‎+380934206331</x:v>
      </x:c>
      <x:c r="G64" s="29" t="str">
        <x:v>Ukraine</x:v>
      </x:c>
      <x:c r="H64" s="29"/>
      <x:c r="I64" s="29"/>
      <x:c r="J64" s="29" t="str">
        <x:v>—</x:v>
      </x:c>
      <x:c r="K64" s="29" t="str">
        <x:v>—</x:v>
      </x:c>
      <x:c r="L64" s="29" t="str">
        <x:v>To classify</x:v>
      </x:c>
      <x:c r="M64" s="29"/>
      <x:c r="N64" s="29"/>
      <x:c r="O64" s="29" t="str">
        <x:v>Self-identified</x:v>
      </x:c>
      <x:c r="P64" s="29" t="str">
        <x:v>Medium</x:v>
      </x:c>
      <x:c r="Q64" s="46" t="str">
        <x:v>No</x:v>
      </x:c>
      <x:c r="R64" s="29" t="str">
        <x:v>Member / participant</x:v>
      </x:c>
      <x:c r="S64" s="29" t="str">
        <x:v>Member / verify</x:v>
      </x:c>
      <x:c r="T64" s="29" t="str">
        <x:v>Identity stated; professional verification pending</x:v>
      </x:c>
      <x:c r="U64" s="29" t="str">
        <x:v>Medium</x:v>
      </x:c>
      <x:c r="V64" s="29" t="str">
        <x:v>Full name but no reliable professional match.</x:v>
      </x:c>
      <x:c r="W64" s="29" t="str">
        <x:v>Confirm employer and Ukraine remit.</x:v>
      </x:c>
      <x:c r="X64" s="29" t="str">
        <x:v>Unassigned</x:v>
      </x:c>
      <x:c r="Y64" s="32" t="n">
        <x:v>46262</x:v>
      </x:c>
      <x:c r="Z64" s="29" t="str">
        <x:v>Not recorded — internal CRM only</x:v>
      </x:c>
      <x:c r="AA64" s="29" t="str">
        <x:v>Phone / closed-group source; human review required</x:v>
      </x:c>
      <x:c r="AB64" s="29" t="str">
        <x:v>Member / verify</x:v>
      </x:c>
      <x:c r="AC64" s="29" t="str"/>
      <x:c r="AD64" s="29" t="str">
        <x:f>E64&amp;" | "&amp;J64&amp;" | "&amp;K64&amp;" | "&amp;F64</x:f>
        <x:v>Sarah Parsons | — | — | ‎+380934206331</x:v>
      </x:c>
      <x:c r="AE64" s="31" t="n">
        <x:f>(IF(OR(O64="Confirmed",O64="Confirmed — phone matched"),2,IF(OR(O64="Self-identified",O64="Probable"),1,0))+IF(J64&lt;&gt;"—",1,0)+IF(K64&lt;&gt;"—",1,0)+IF(L64&lt;&gt;"To classify",1,0)+IF(OR(M64&lt;&gt;"",N64&lt;&gt;""),1,0)+IF(H64&lt;&gt;"",1,0)+IF(AB64&lt;&gt;"",1,0)+IF(X64&lt;&gt;"Unassigned",1,0))/9</x:f>
        <x:v>0.2222222222222222</x:v>
      </x:c>
    </x:row>
    <x:row r="65">
      <x:c r="A65" s="45" t="n">
        <x:v>61</x:v>
      </x:c>
      <x:c r="B65" s="29" t="str">
        <x:v>WhatsApp</x:v>
      </x:c>
      <x:c r="C65" s="29" t="str">
        <x:v>ISRM Ukraine</x:v>
      </x:c>
      <x:c r="D65" s="29" t="str">
        <x:v>Sasha Shapkina</x:v>
      </x:c>
      <x:c r="E65" s="29" t="str">
        <x:v>Sasha Shapkina</x:v>
      </x:c>
      <x:c r="F65" s="29" t="str">
        <x:v>‎+380994219811</x:v>
      </x:c>
      <x:c r="G65" s="29" t="str">
        <x:v>Ukraine</x:v>
      </x:c>
      <x:c r="H65" s="29"/>
      <x:c r="I65" s="29"/>
      <x:c r="J65" s="29" t="str">
        <x:v>—</x:v>
      </x:c>
      <x:c r="K65" s="29" t="str">
        <x:v>—</x:v>
      </x:c>
      <x:c r="L65" s="29" t="str">
        <x:v>To classify</x:v>
      </x:c>
      <x:c r="M65" s="29"/>
      <x:c r="N65" s="29"/>
      <x:c r="O65" s="29" t="str">
        <x:v>Self-identified</x:v>
      </x:c>
      <x:c r="P65" s="29" t="str">
        <x:v>Medium</x:v>
      </x:c>
      <x:c r="Q65" s="46" t="str">
        <x:v>No</x:v>
      </x:c>
      <x:c r="R65" s="29" t="str">
        <x:v>Member / participant</x:v>
      </x:c>
      <x:c r="S65" s="29" t="str">
        <x:v>Member / verify</x:v>
      </x:c>
      <x:c r="T65" s="29" t="str">
        <x:v>Identity stated; professional verification pending</x:v>
      </x:c>
      <x:c r="U65" s="29" t="str">
        <x:v>Medium</x:v>
      </x:c>
      <x:c r="V65" s="29" t="str">
        <x:v>Full name but role unverified.</x:v>
      </x:c>
      <x:c r="W65" s="29" t="str">
        <x:v>Ask for current organization and function.</x:v>
      </x:c>
      <x:c r="X65" s="29" t="str">
        <x:v>Unassigned</x:v>
      </x:c>
      <x:c r="Y65" s="32" t="n">
        <x:v>46262</x:v>
      </x:c>
      <x:c r="Z65" s="29" t="str">
        <x:v>Not recorded — internal CRM only</x:v>
      </x:c>
      <x:c r="AA65" s="29" t="str">
        <x:v>Phone / closed-group source; human review required</x:v>
      </x:c>
      <x:c r="AB65" s="29" t="str">
        <x:v>Member / verify</x:v>
      </x:c>
      <x:c r="AC65" s="29" t="str"/>
      <x:c r="AD65" s="29" t="str">
        <x:f>E65&amp;" | "&amp;J65&amp;" | "&amp;K65&amp;" | "&amp;F65</x:f>
        <x:v>Sasha Shapkina | — | — | ‎+380994219811</x:v>
      </x:c>
      <x:c r="AE65" s="31" t="n">
        <x:f>(IF(OR(O65="Confirmed",O65="Confirmed — phone matched"),2,IF(OR(O65="Self-identified",O65="Probable"),1,0))+IF(J65&lt;&gt;"—",1,0)+IF(K65&lt;&gt;"—",1,0)+IF(L65&lt;&gt;"To classify",1,0)+IF(OR(M65&lt;&gt;"",N65&lt;&gt;""),1,0)+IF(H65&lt;&gt;"",1,0)+IF(AB65&lt;&gt;"",1,0)+IF(X65&lt;&gt;"Unassigned",1,0))/9</x:f>
        <x:v>0.2222222222222222</x:v>
      </x:c>
    </x:row>
    <x:row r="66">
      <x:c r="A66" s="45" t="n">
        <x:v>62</x:v>
      </x:c>
      <x:c r="B66" s="29" t="str">
        <x:v>WhatsApp</x:v>
      </x:c>
      <x:c r="C66" s="29" t="str">
        <x:v>ISRM Ukraine</x:v>
      </x:c>
      <x:c r="D66" s="29" t="str">
        <x:v>Sergey</x:v>
      </x:c>
      <x:c r="E66" s="29" t="str">
        <x:v>Sergey (surname unknown)</x:v>
      </x:c>
      <x:c r="F66" s="29" t="str">
        <x:v>‎+380989553174</x:v>
      </x:c>
      <x:c r="G66" s="29" t="str">
        <x:v>Ukraine</x:v>
      </x:c>
      <x:c r="H66" s="29"/>
      <x:c r="I66" s="29"/>
      <x:c r="J66" s="29" t="str">
        <x:v>—</x:v>
      </x:c>
      <x:c r="K66" s="29" t="str">
        <x:v>—</x:v>
      </x:c>
      <x:c r="L66" s="29" t="str">
        <x:v>To classify</x:v>
      </x:c>
      <x:c r="M66" s="29"/>
      <x:c r="N66" s="29"/>
      <x:c r="O66" s="29" t="str">
        <x:v>Partial</x:v>
      </x:c>
      <x:c r="P66" s="29" t="str">
        <x:v>Low</x:v>
      </x:c>
      <x:c r="Q66" s="46" t="str">
        <x:v>No</x:v>
      </x:c>
      <x:c r="R66" s="29" t="str">
        <x:v>Member / participant</x:v>
      </x:c>
      <x:c r="S66" s="29" t="str">
        <x:v>Unqualified / research pending</x:v>
      </x:c>
      <x:c r="T66" s="29" t="str">
        <x:v>Identity completion pending</x:v>
      </x:c>
      <x:c r="U66" s="29" t="str">
        <x:v>Low</x:v>
      </x:c>
      <x:c r="V66" s="29" t="str">
        <x:v>No reliable commercial signal from the available data.</x:v>
      </x:c>
      <x:c r="W66" s="29" t="str">
        <x:v>Resolve identity and current role through a consensual group-admin or direct-message check before any outreach.</x:v>
      </x:c>
      <x:c r="X66" s="29" t="str">
        <x:v>Unassigned</x:v>
      </x:c>
      <x:c r="Y66" s="32" t="n">
        <x:v>46262</x:v>
      </x:c>
      <x:c r="Z66" s="29" t="str">
        <x:v>Not recorded — internal CRM only</x:v>
      </x:c>
      <x:c r="AA66" s="29" t="str">
        <x:v>Phone / closed-group source; human review required</x:v>
      </x:c>
      <x:c r="AB66" s="29" t="str">
        <x:v>Unqualified / research pending</x:v>
      </x:c>
      <x:c r="AC66" s="29" t="str"/>
      <x:c r="AD66" s="29" t="str">
        <x:f>E66&amp;" | "&amp;J66&amp;" | "&amp;K66&amp;" | "&amp;F66</x:f>
        <x:v>Sergey (surname unknown) | — | — | ‎+380989553174</x:v>
      </x:c>
      <x:c r="AE66" s="31" t="n">
        <x:f>(IF(OR(O66="Confirmed",O66="Confirmed — phone matched"),2,IF(OR(O66="Self-identified",O66="Probable"),1,0))+IF(J66&lt;&gt;"—",1,0)+IF(K66&lt;&gt;"—",1,0)+IF(L66&lt;&gt;"To classify",1,0)+IF(OR(M66&lt;&gt;"",N66&lt;&gt;""),1,0)+IF(H66&lt;&gt;"",1,0)+IF(AB66&lt;&gt;"",1,0)+IF(X66&lt;&gt;"Unassigned",1,0))/9</x:f>
        <x:v>0.1111111111111111</x:v>
      </x:c>
    </x:row>
    <x:row r="67">
      <x:c r="A67" s="45" t="n">
        <x:v>63</x:v>
      </x:c>
      <x:c r="B67" s="29" t="str">
        <x:v>WhatsApp</x:v>
      </x:c>
      <x:c r="C67" s="29" t="str">
        <x:v>ISRM Ukraine</x:v>
      </x:c>
      <x:c r="D67" s="29" t="str">
        <x:v>Sergii Mau</x:v>
      </x:c>
      <x:c r="E67" s="29" t="str">
        <x:v>Sergii Mau</x:v>
      </x:c>
      <x:c r="F67" s="29" t="str">
        <x:v>‎+380995396940</x:v>
      </x:c>
      <x:c r="G67" s="29" t="str">
        <x:v>Ukraine</x:v>
      </x:c>
      <x:c r="H67" s="29"/>
      <x:c r="I67" s="29"/>
      <x:c r="J67" s="29" t="str">
        <x:v>—</x:v>
      </x:c>
      <x:c r="K67" s="29" t="str">
        <x:v>—</x:v>
      </x:c>
      <x:c r="L67" s="29" t="str">
        <x:v>To classify</x:v>
      </x:c>
      <x:c r="M67" s="29"/>
      <x:c r="N67" s="29"/>
      <x:c r="O67" s="29" t="str">
        <x:v>Self-identified</x:v>
      </x:c>
      <x:c r="P67" s="29" t="str">
        <x:v>Medium</x:v>
      </x:c>
      <x:c r="Q67" s="46" t="str">
        <x:v>No</x:v>
      </x:c>
      <x:c r="R67" s="29" t="str">
        <x:v>Member / participant</x:v>
      </x:c>
      <x:c r="S67" s="29" t="str">
        <x:v>Member / verify</x:v>
      </x:c>
      <x:c r="T67" s="29" t="str">
        <x:v>Identity stated; professional verification pending</x:v>
      </x:c>
      <x:c r="U67" s="29" t="str">
        <x:v>Medium</x:v>
      </x:c>
      <x:c r="V67" s="29" t="str">
        <x:v>Full name but role unverified.</x:v>
      </x:c>
      <x:c r="W67" s="29" t="str">
        <x:v>Ask for current organization and function.</x:v>
      </x:c>
      <x:c r="X67" s="29" t="str">
        <x:v>Unassigned</x:v>
      </x:c>
      <x:c r="Y67" s="32" t="n">
        <x:v>46262</x:v>
      </x:c>
      <x:c r="Z67" s="29" t="str">
        <x:v>Not recorded — internal CRM only</x:v>
      </x:c>
      <x:c r="AA67" s="29" t="str">
        <x:v>Phone / closed-group source; human review required</x:v>
      </x:c>
      <x:c r="AB67" s="29" t="str">
        <x:v>Member / verify</x:v>
      </x:c>
      <x:c r="AC67" s="29" t="str"/>
      <x:c r="AD67" s="29" t="str">
        <x:f>E67&amp;" | "&amp;J67&amp;" | "&amp;K67&amp;" | "&amp;F67</x:f>
        <x:v>Sergii Mau | — | — | ‎+380995396940</x:v>
      </x:c>
      <x:c r="AE67" s="31" t="n">
        <x:f>(IF(OR(O67="Confirmed",O67="Confirmed — phone matched"),2,IF(OR(O67="Self-identified",O67="Probable"),1,0))+IF(J67&lt;&gt;"—",1,0)+IF(K67&lt;&gt;"—",1,0)+IF(L67&lt;&gt;"To classify",1,0)+IF(OR(M67&lt;&gt;"",N67&lt;&gt;""),1,0)+IF(H67&lt;&gt;"",1,0)+IF(AB67&lt;&gt;"",1,0)+IF(X67&lt;&gt;"Unassigned",1,0))/9</x:f>
        <x:v>0.2222222222222222</x:v>
      </x:c>
    </x:row>
    <x:row r="68">
      <x:c r="A68" s="45" t="n">
        <x:v>64</x:v>
      </x:c>
      <x:c r="B68" s="29" t="str">
        <x:v>WhatsApp</x:v>
      </x:c>
      <x:c r="C68" s="29" t="str">
        <x:v>ISRM Ukraine</x:v>
      </x:c>
      <x:c r="D68" s="29" t="str">
        <x:v>Shannon</x:v>
      </x:c>
      <x:c r="E68" s="29" t="str">
        <x:v>Shannon (identity unresolved)</x:v>
      </x:c>
      <x:c r="F68" s="29" t="str">
        <x:v>‎</x:v>
      </x:c>
      <x:c r="G68" s="29" t="str">
        <x:v>No number</x:v>
      </x:c>
      <x:c r="H68" s="29"/>
      <x:c r="I68" s="29"/>
      <x:c r="J68" s="29" t="str">
        <x:v>—</x:v>
      </x:c>
      <x:c r="K68" s="29" t="str">
        <x:v>—</x:v>
      </x:c>
      <x:c r="L68" s="29" t="str">
        <x:v>To classify</x:v>
      </x:c>
      <x:c r="M68" s="29"/>
      <x:c r="N68" s="29"/>
      <x:c r="O68" s="29" t="str">
        <x:v>Unidentified</x:v>
      </x:c>
      <x:c r="P68" s="29" t="str">
        <x:v>None</x:v>
      </x:c>
      <x:c r="Q68" s="46" t="str">
        <x:v>No</x:v>
      </x:c>
      <x:c r="R68" s="29" t="str">
        <x:v>Member / participant</x:v>
      </x:c>
      <x:c r="S68" s="29" t="str">
        <x:v>Unqualified / research pending</x:v>
      </x:c>
      <x:c r="T68" s="29" t="str">
        <x:v>Identification pending</x:v>
      </x:c>
      <x:c r="U68" s="29" t="str">
        <x:v>Low</x:v>
      </x:c>
      <x:c r="V68" s="29" t="str">
        <x:v>No reliable commercial signal from the available data.</x:v>
      </x:c>
      <x:c r="W68" s="29" t="str">
        <x:v>Resolve identity and current role through a consensual group-admin or direct-message check before any outreach.</x:v>
      </x:c>
      <x:c r="X68" s="29" t="str">
        <x:v>Unassigned</x:v>
      </x:c>
      <x:c r="Y68" s="32" t="n">
        <x:v>46262</x:v>
      </x:c>
      <x:c r="Z68" s="29" t="str">
        <x:v>Not recorded — internal CRM only</x:v>
      </x:c>
      <x:c r="AA68" s="29" t="str">
        <x:v>Phone / closed-group source; human review required</x:v>
      </x:c>
      <x:c r="AB68" s="29" t="str">
        <x:v>Unqualified / research pending</x:v>
      </x:c>
      <x:c r="AC68" s="29" t="str"/>
      <x:c r="AD68" s="29" t="str">
        <x:f>E68&amp;" | "&amp;J68&amp;" | "&amp;K68&amp;" | "&amp;F68</x:f>
        <x:v>Shannon (identity unresolved) | — | — | ‎</x:v>
      </x:c>
      <x:c r="AE68" s="31" t="n">
        <x:f>(IF(OR(O68="Confirmed",O68="Confirmed — phone matched"),2,IF(OR(O68="Self-identified",O68="Probable"),1,0))+IF(J68&lt;&gt;"—",1,0)+IF(K68&lt;&gt;"—",1,0)+IF(L68&lt;&gt;"To classify",1,0)+IF(OR(M68&lt;&gt;"",N68&lt;&gt;""),1,0)+IF(H68&lt;&gt;"",1,0)+IF(AB68&lt;&gt;"",1,0)+IF(X68&lt;&gt;"Unassigned",1,0))/9</x:f>
        <x:v>0.1111111111111111</x:v>
      </x:c>
    </x:row>
    <x:row r="69">
      <x:c r="A69" s="45" t="n">
        <x:v>65</x:v>
      </x:c>
      <x:c r="B69" s="29" t="str">
        <x:v>WhatsApp</x:v>
      </x:c>
      <x:c r="C69" s="29" t="str">
        <x:v>ISRM Ukraine</x:v>
      </x:c>
      <x:c r="D69" s="29" t="str">
        <x:v>Shawn</x:v>
      </x:c>
      <x:c r="E69" s="29" t="str">
        <x:v>Shawn (surname unknown)</x:v>
      </x:c>
      <x:c r="F69" s="29" t="str">
        <x:v>‎+17606079081</x:v>
      </x:c>
      <x:c r="G69" s="29" t="str">
        <x:v>United States / Canada</x:v>
      </x:c>
      <x:c r="H69" s="29"/>
      <x:c r="I69" s="29"/>
      <x:c r="J69" s="29" t="str">
        <x:v>—</x:v>
      </x:c>
      <x:c r="K69" s="29" t="str">
        <x:v>—</x:v>
      </x:c>
      <x:c r="L69" s="29" t="str">
        <x:v>To classify</x:v>
      </x:c>
      <x:c r="M69" s="29"/>
      <x:c r="N69" s="29"/>
      <x:c r="O69" s="29" t="str">
        <x:v>Partial</x:v>
      </x:c>
      <x:c r="P69" s="29" t="str">
        <x:v>Low</x:v>
      </x:c>
      <x:c r="Q69" s="46" t="str">
        <x:v>No</x:v>
      </x:c>
      <x:c r="R69" s="29" t="str">
        <x:v>Member / participant</x:v>
      </x:c>
      <x:c r="S69" s="29" t="str">
        <x:v>Unqualified / research pending</x:v>
      </x:c>
      <x:c r="T69" s="29" t="str">
        <x:v>Identity completion pending</x:v>
      </x:c>
      <x:c r="U69" s="29" t="str">
        <x:v>Low</x:v>
      </x:c>
      <x:c r="V69" s="29" t="str">
        <x:v>No reliable commercial signal from the available data.</x:v>
      </x:c>
      <x:c r="W69" s="29" t="str">
        <x:v>Resolve identity and current role through a consensual group-admin or direct-message check before any outreach.</x:v>
      </x:c>
      <x:c r="X69" s="29" t="str">
        <x:v>Unassigned</x:v>
      </x:c>
      <x:c r="Y69" s="32" t="n">
        <x:v>46262</x:v>
      </x:c>
      <x:c r="Z69" s="29" t="str">
        <x:v>Not recorded — internal CRM only</x:v>
      </x:c>
      <x:c r="AA69" s="29" t="str">
        <x:v>Phone / closed-group source; human review required</x:v>
      </x:c>
      <x:c r="AB69" s="29" t="str">
        <x:v>Unqualified / research pending</x:v>
      </x:c>
      <x:c r="AC69" s="29" t="str"/>
      <x:c r="AD69" s="29" t="str">
        <x:f>E69&amp;" | "&amp;J69&amp;" | "&amp;K69&amp;" | "&amp;F69</x:f>
        <x:v>Shawn (surname unknown) | — | — | ‎+17606079081</x:v>
      </x:c>
      <x:c r="AE69" s="31" t="n">
        <x:f>(IF(OR(O69="Confirmed",O69="Confirmed — phone matched"),2,IF(OR(O69="Self-identified",O69="Probable"),1,0))+IF(J69&lt;&gt;"—",1,0)+IF(K69&lt;&gt;"—",1,0)+IF(L69&lt;&gt;"To classify",1,0)+IF(OR(M69&lt;&gt;"",N69&lt;&gt;""),1,0)+IF(H69&lt;&gt;"",1,0)+IF(AB69&lt;&gt;"",1,0)+IF(X69&lt;&gt;"Unassigned",1,0))/9</x:f>
        <x:v>0.1111111111111111</x:v>
      </x:c>
    </x:row>
    <x:row r="70">
      <x:c r="A70" s="45" t="n">
        <x:v>66</x:v>
      </x:c>
      <x:c r="B70" s="29" t="str">
        <x:v>WhatsApp</x:v>
      </x:c>
      <x:c r="C70" s="29" t="str">
        <x:v>ISRM Ukraine</x:v>
      </x:c>
      <x:c r="D70" s="29" t="str">
        <x:v>Sofiia</x:v>
      </x:c>
      <x:c r="E70" s="29" t="str">
        <x:v>Sofiia (surname unknown)</x:v>
      </x:c>
      <x:c r="F70" s="29" t="str">
        <x:v>‎+380951310595</x:v>
      </x:c>
      <x:c r="G70" s="29" t="str">
        <x:v>Ukraine</x:v>
      </x:c>
      <x:c r="H70" s="29"/>
      <x:c r="I70" s="29"/>
      <x:c r="J70" s="29" t="str">
        <x:v>—</x:v>
      </x:c>
      <x:c r="K70" s="29" t="str">
        <x:v>—</x:v>
      </x:c>
      <x:c r="L70" s="29" t="str">
        <x:v>To classify</x:v>
      </x:c>
      <x:c r="M70" s="29"/>
      <x:c r="N70" s="29"/>
      <x:c r="O70" s="29" t="str">
        <x:v>Partial</x:v>
      </x:c>
      <x:c r="P70" s="29" t="str">
        <x:v>Low</x:v>
      </x:c>
      <x:c r="Q70" s="46" t="str">
        <x:v>No</x:v>
      </x:c>
      <x:c r="R70" s="29" t="str">
        <x:v>Member / participant</x:v>
      </x:c>
      <x:c r="S70" s="29" t="str">
        <x:v>Unqualified / research pending</x:v>
      </x:c>
      <x:c r="T70" s="29" t="str">
        <x:v>Identity completion pending</x:v>
      </x:c>
      <x:c r="U70" s="29" t="str">
        <x:v>Low</x:v>
      </x:c>
      <x:c r="V70" s="29" t="str">
        <x:v>No reliable commercial signal from the available data.</x:v>
      </x:c>
      <x:c r="W70" s="29" t="str">
        <x:v>Resolve identity and current role through a consensual group-admin or direct-message check before any outreach.</x:v>
      </x:c>
      <x:c r="X70" s="29" t="str">
        <x:v>Unassigned</x:v>
      </x:c>
      <x:c r="Y70" s="32" t="n">
        <x:v>46262</x:v>
      </x:c>
      <x:c r="Z70" s="29" t="str">
        <x:v>Not recorded — internal CRM only</x:v>
      </x:c>
      <x:c r="AA70" s="29" t="str">
        <x:v>Phone / closed-group source; human review required</x:v>
      </x:c>
      <x:c r="AB70" s="29" t="str">
        <x:v>Unqualified / research pending</x:v>
      </x:c>
      <x:c r="AC70" s="29" t="str"/>
      <x:c r="AD70" s="29" t="str">
        <x:f>E70&amp;" | "&amp;J70&amp;" | "&amp;K70&amp;" | "&amp;F70</x:f>
        <x:v>Sofiia (surname unknown) | — | — | ‎+380951310595</x:v>
      </x:c>
      <x:c r="AE70" s="31" t="n">
        <x:f>(IF(OR(O70="Confirmed",O70="Confirmed — phone matched"),2,IF(OR(O70="Self-identified",O70="Probable"),1,0))+IF(J70&lt;&gt;"—",1,0)+IF(K70&lt;&gt;"—",1,0)+IF(L70&lt;&gt;"To classify",1,0)+IF(OR(M70&lt;&gt;"",N70&lt;&gt;""),1,0)+IF(H70&lt;&gt;"",1,0)+IF(AB70&lt;&gt;"",1,0)+IF(X70&lt;&gt;"Unassigned",1,0))/9</x:f>
        <x:v>0.1111111111111111</x:v>
      </x:c>
    </x:row>
    <x:row r="71">
      <x:c r="A71" s="45" t="n">
        <x:v>67</x:v>
      </x:c>
      <x:c r="B71" s="29" t="str">
        <x:v>WhatsApp</x:v>
      </x:c>
      <x:c r="C71" s="29" t="str">
        <x:v>ISRM Ukraine</x:v>
      </x:c>
      <x:c r="D71" s="29" t="str">
        <x:v>Solomia Matsola</x:v>
      </x:c>
      <x:c r="E71" s="29" t="str">
        <x:v>Solomia Matsola</x:v>
      </x:c>
      <x:c r="F71" s="29" t="str">
        <x:v>‎+380957167249</x:v>
      </x:c>
      <x:c r="G71" s="29" t="str">
        <x:v>Ukraine</x:v>
      </x:c>
      <x:c r="H71" s="29"/>
      <x:c r="I71" s="29"/>
      <x:c r="J71" s="29" t="str">
        <x:v>Academic sector</x:v>
      </x:c>
      <x:c r="K71" s="29" t="str">
        <x:v>Researcher / academic; exact current role unverified</x:v>
      </x:c>
      <x:c r="L71" s="29" t="str">
        <x:v>Academia / research</x:v>
      </x:c>
      <x:c r="M71" s="29"/>
      <x:c r="N71" s="29"/>
      <x:c r="O71" s="29" t="str">
        <x:v>Probable</x:v>
      </x:c>
      <x:c r="P71" s="29" t="str">
        <x:v>Medium</x:v>
      </x:c>
      <x:c r="Q71" s="46" t="str">
        <x:v>No</x:v>
      </x:c>
      <x:c r="R71" s="29" t="str">
        <x:v>Member / participant</x:v>
      </x:c>
      <x:c r="S71" s="29" t="str">
        <x:v>Member / verify</x:v>
      </x:c>
      <x:c r="T71" s="29" t="str">
        <x:v>Match verification pending</x:v>
      </x:c>
      <x:c r="U71" s="29" t="str">
        <x:v>Medium</x:v>
      </x:c>
      <x:c r="V71" s="29" t="str">
        <x:v>Potential academic connector; weak direct commercial signal.</x:v>
      </x:c>
      <x:c r="W71" s="29" t="str">
        <x:v>Verify affiliation before engagement.</x:v>
      </x:c>
      <x:c r="X71" s="29" t="str">
        <x:v>Unassigned</x:v>
      </x:c>
      <x:c r="Y71" s="32" t="n">
        <x:v>46262</x:v>
      </x:c>
      <x:c r="Z71" s="29" t="str">
        <x:v>Not recorded — internal CRM only</x:v>
      </x:c>
      <x:c r="AA71" s="29" t="str">
        <x:v>Phone / closed-group source; human review required</x:v>
      </x:c>
      <x:c r="AB71" s="29" t="str">
        <x:v>Academia / research; Research, education and knowledge transfer; Member / verify</x:v>
      </x:c>
      <x:c r="AC71" s="29" t="str"/>
      <x:c r="AD71" s="29" t="str">
        <x:f>E71&amp;" | "&amp;J71&amp;" | "&amp;K71&amp;" | "&amp;F71</x:f>
        <x:v>Solomia Matsola | Academic sector | Researcher / academic; exact current role unverified | ‎+380957167249</x:v>
      </x:c>
      <x:c r="AE71" s="31" t="n">
        <x:f>(IF(OR(O71="Confirmed",O71="Confirmed — phone matched"),2,IF(OR(O71="Self-identified",O71="Probable"),1,0))+IF(J71&lt;&gt;"—",1,0)+IF(K71&lt;&gt;"—",1,0)+IF(L71&lt;&gt;"To classify",1,0)+IF(OR(M71&lt;&gt;"",N71&lt;&gt;""),1,0)+IF(H71&lt;&gt;"",1,0)+IF(AB71&lt;&gt;"",1,0)+IF(X71&lt;&gt;"Unassigned",1,0))/9</x:f>
        <x:v>0.5555555555555556</x:v>
      </x:c>
    </x:row>
    <x:row r="72">
      <x:c r="A72" s="45" t="n">
        <x:v>68</x:v>
      </x:c>
      <x:c r="B72" s="29" t="str">
        <x:v>WhatsApp</x:v>
      </x:c>
      <x:c r="C72" s="29" t="str">
        <x:v>ISRM Ukraine</x:v>
      </x:c>
      <x:c r="D72" s="29" t="str">
        <x:v>Stepan</x:v>
      </x:c>
      <x:c r="E72" s="29" t="str">
        <x:v>Stepan (surname unknown)</x:v>
      </x:c>
      <x:c r="F72" s="29" t="str">
        <x:v>‎+380660379776</x:v>
      </x:c>
      <x:c r="G72" s="29" t="str">
        <x:v>Ukraine</x:v>
      </x:c>
      <x:c r="H72" s="29"/>
      <x:c r="I72" s="29"/>
      <x:c r="J72" s="29" t="str">
        <x:v>—</x:v>
      </x:c>
      <x:c r="K72" s="29" t="str">
        <x:v>—</x:v>
      </x:c>
      <x:c r="L72" s="29" t="str">
        <x:v>To classify</x:v>
      </x:c>
      <x:c r="M72" s="29"/>
      <x:c r="N72" s="29"/>
      <x:c r="O72" s="29" t="str">
        <x:v>Partial</x:v>
      </x:c>
      <x:c r="P72" s="29" t="str">
        <x:v>Low</x:v>
      </x:c>
      <x:c r="Q72" s="46" t="str">
        <x:v>No</x:v>
      </x:c>
      <x:c r="R72" s="29" t="str">
        <x:v>Member / participant</x:v>
      </x:c>
      <x:c r="S72" s="29" t="str">
        <x:v>Unqualified / research pending</x:v>
      </x:c>
      <x:c r="T72" s="29" t="str">
        <x:v>Identity completion pending</x:v>
      </x:c>
      <x:c r="U72" s="29" t="str">
        <x:v>Low</x:v>
      </x:c>
      <x:c r="V72" s="29" t="str">
        <x:v>No reliable commercial signal from the available data.</x:v>
      </x:c>
      <x:c r="W72" s="29" t="str">
        <x:v>Resolve identity and current role through a consensual group-admin or direct-message check before any outreach.</x:v>
      </x:c>
      <x:c r="X72" s="29" t="str">
        <x:v>Unassigned</x:v>
      </x:c>
      <x:c r="Y72" s="32" t="n">
        <x:v>46262</x:v>
      </x:c>
      <x:c r="Z72" s="29" t="str">
        <x:v>Not recorded — internal CRM only</x:v>
      </x:c>
      <x:c r="AA72" s="29" t="str">
        <x:v>Phone / closed-group source; human review required</x:v>
      </x:c>
      <x:c r="AB72" s="29" t="str">
        <x:v>Unqualified / research pending</x:v>
      </x:c>
      <x:c r="AC72" s="29" t="str"/>
      <x:c r="AD72" s="29" t="str">
        <x:f>E72&amp;" | "&amp;J72&amp;" | "&amp;K72&amp;" | "&amp;F72</x:f>
        <x:v>Stepan (surname unknown) | — | — | ‎+380660379776</x:v>
      </x:c>
      <x:c r="AE72" s="31" t="n">
        <x:f>(IF(OR(O72="Confirmed",O72="Confirmed — phone matched"),2,IF(OR(O72="Self-identified",O72="Probable"),1,0))+IF(J72&lt;&gt;"—",1,0)+IF(K72&lt;&gt;"—",1,0)+IF(L72&lt;&gt;"To classify",1,0)+IF(OR(M72&lt;&gt;"",N72&lt;&gt;""),1,0)+IF(H72&lt;&gt;"",1,0)+IF(AB72&lt;&gt;"",1,0)+IF(X72&lt;&gt;"Unassigned",1,0))/9</x:f>
        <x:v>0.1111111111111111</x:v>
      </x:c>
    </x:row>
    <x:row r="73">
      <x:c r="A73" s="45" t="n">
        <x:v>69</x:v>
      </x:c>
      <x:c r="B73" s="29" t="str">
        <x:v>WhatsApp</x:v>
      </x:c>
      <x:c r="C73" s="29" t="str">
        <x:v>ISRM Ukraine</x:v>
      </x:c>
      <x:c r="D73" s="29" t="str">
        <x:v>Tara Neitzey</x:v>
      </x:c>
      <x:c r="E73" s="29" t="str">
        <x:v>Tara Neitzey</x:v>
      </x:c>
      <x:c r="F73" s="29" t="str">
        <x:v>‎+380931887684</x:v>
      </x:c>
      <x:c r="G73" s="29" t="str">
        <x:v>Ukraine</x:v>
      </x:c>
      <x:c r="H73" s="29"/>
      <x:c r="I73" s="29"/>
      <x:c r="J73" s="29" t="str">
        <x:v>Ukrainian Patriot</x:v>
      </x:c>
      <x:c r="K73" s="29" t="str">
        <x:v>Board Chair / Treasurer / operations contributor</x:v>
      </x:c>
      <x:c r="L73" s="29" t="str">
        <x:v>Technology / cyber</x:v>
      </x:c>
      <x:c r="M73" s="29"/>
      <x:c r="N73" s="29" t="str">
        <x:v>https://ukrainianpatriot.org/wp-content/uploads/2025/04/Ukrainian_Patriot_Impact_Report_2024_low_res.pdf</x:v>
      </x:c>
      <x:c r="O73" s="29" t="str">
        <x:v>Confirmed</x:v>
      </x:c>
      <x:c r="P73" s="29" t="str">
        <x:v>High</x:v>
      </x:c>
      <x:c r="Q73" s="46" t="str">
        <x:v>No</x:v>
      </x:c>
      <x:c r="R73" s="29" t="str">
        <x:v>Connector / community multiplier</x:v>
      </x:c>
      <x:c r="S73" s="29" t="str">
        <x:v>Connector / community multiplier</x:v>
      </x:c>
      <x:c r="T73" s="29" t="str">
        <x:v>Verified profile</x:v>
      </x:c>
      <x:c r="U73" s="29" t="str">
        <x:v>Medium</x:v>
      </x:c>
      <x:c r="V73" s="29" t="str">
        <x:v>Active humanitarian/Ukraine network with operational and donor connections.</x:v>
      </x:c>
      <x:c r="W73" s="29" t="str">
        <x:v>Explore referrals and legal support for nonprofit operations and partnerships.</x:v>
      </x:c>
      <x:c r="X73" s="29" t="str">
        <x:v>Unassigned</x:v>
      </x:c>
      <x:c r="Y73" s="32" t="n">
        <x:v>46262</x:v>
      </x:c>
      <x:c r="Z73" s="29" t="str">
        <x:v>Not recorded — internal CRM only</x:v>
      </x:c>
      <x:c r="AA73" s="29" t="str">
        <x:v>Phone / closed-group source; human review required</x:v>
      </x:c>
      <x:c r="AB73" s="29" t="str">
        <x:v>Technology / cyber; Technology, cyber and digital resilience; Connector / community multiplier</x:v>
      </x:c>
      <x:c r="AC73" s="29" t="str">
        <x:v>Ai &amp; Ops Process.</x:v>
      </x:c>
      <x:c r="AD73" s="29" t="str">
        <x:f>E73&amp;" | "&amp;J73&amp;" | "&amp;K73&amp;" | "&amp;F73</x:f>
        <x:v>Tara Neitzey | Ukrainian Patriot | Board Chair / Treasurer / operations contributor | ‎+380931887684</x:v>
      </x:c>
      <x:c r="AE73" s="31" t="n">
        <x:f>(IF(OR(O73="Confirmed",O73="Confirmed — phone matched"),2,IF(OR(O73="Self-identified",O73="Probable"),1,0))+IF(J73&lt;&gt;"—",1,0)+IF(K73&lt;&gt;"—",1,0)+IF(L73&lt;&gt;"To classify",1,0)+IF(OR(M73&lt;&gt;"",N73&lt;&gt;""),1,0)+IF(H73&lt;&gt;"",1,0)+IF(AB73&lt;&gt;"",1,0)+IF(X73&lt;&gt;"Unassigned",1,0))/9</x:f>
        <x:v>0.7777777777777778</x:v>
      </x:c>
    </x:row>
    <x:row r="74">
      <x:c r="A74" s="45" t="n">
        <x:v>70</x:v>
      </x:c>
      <x:c r="B74" s="29" t="str">
        <x:v>WhatsApp</x:v>
      </x:c>
      <x:c r="C74" s="29" t="str">
        <x:v>ISRM Ukraine</x:v>
      </x:c>
      <x:c r="D74" s="29" t="str">
        <x:v>Teddy</x:v>
      </x:c>
      <x:c r="E74" s="29" t="str">
        <x:v>Teddy (surname unknown)</x:v>
      </x:c>
      <x:c r="F74" s="29" t="str">
        <x:v>‎+13463957848</x:v>
      </x:c>
      <x:c r="G74" s="29" t="str">
        <x:v>United States / Canada</x:v>
      </x:c>
      <x:c r="H74" s="29"/>
      <x:c r="I74" s="29"/>
      <x:c r="J74" s="29" t="str">
        <x:v>—</x:v>
      </x:c>
      <x:c r="K74" s="29" t="str">
        <x:v>—</x:v>
      </x:c>
      <x:c r="L74" s="29" t="str">
        <x:v>To classify</x:v>
      </x:c>
      <x:c r="M74" s="29"/>
      <x:c r="N74" s="29"/>
      <x:c r="O74" s="29" t="str">
        <x:v>Partial</x:v>
      </x:c>
      <x:c r="P74" s="29" t="str">
        <x:v>Low</x:v>
      </x:c>
      <x:c r="Q74" s="46" t="str">
        <x:v>No</x:v>
      </x:c>
      <x:c r="R74" s="29" t="str">
        <x:v>Member / participant</x:v>
      </x:c>
      <x:c r="S74" s="29" t="str">
        <x:v>Unqualified / research pending</x:v>
      </x:c>
      <x:c r="T74" s="29" t="str">
        <x:v>Identity completion pending</x:v>
      </x:c>
      <x:c r="U74" s="29" t="str">
        <x:v>Low</x:v>
      </x:c>
      <x:c r="V74" s="29" t="str">
        <x:v>No reliable commercial signal from the available data.</x:v>
      </x:c>
      <x:c r="W74" s="29" t="str">
        <x:v>Resolve identity and current role through a consensual group-admin or direct-message check before any outreach.</x:v>
      </x:c>
      <x:c r="X74" s="29" t="str">
        <x:v>Unassigned</x:v>
      </x:c>
      <x:c r="Y74" s="32" t="n">
        <x:v>46262</x:v>
      </x:c>
      <x:c r="Z74" s="29" t="str">
        <x:v>Not recorded — internal CRM only</x:v>
      </x:c>
      <x:c r="AA74" s="29" t="str">
        <x:v>Phone / closed-group source; human review required</x:v>
      </x:c>
      <x:c r="AB74" s="29" t="str">
        <x:v>Unqualified / research pending</x:v>
      </x:c>
      <x:c r="AC74" s="29" t="str"/>
      <x:c r="AD74" s="29" t="str">
        <x:f>E74&amp;" | "&amp;J74&amp;" | "&amp;K74&amp;" | "&amp;F74</x:f>
        <x:v>Teddy (surname unknown) | — | — | ‎+13463957848</x:v>
      </x:c>
      <x:c r="AE74" s="31" t="n">
        <x:f>(IF(OR(O74="Confirmed",O74="Confirmed — phone matched"),2,IF(OR(O74="Self-identified",O74="Probable"),1,0))+IF(J74&lt;&gt;"—",1,0)+IF(K74&lt;&gt;"—",1,0)+IF(L74&lt;&gt;"To classify",1,0)+IF(OR(M74&lt;&gt;"",N74&lt;&gt;""),1,0)+IF(H74&lt;&gt;"",1,0)+IF(AB74&lt;&gt;"",1,0)+IF(X74&lt;&gt;"Unassigned",1,0))/9</x:f>
        <x:v>0.1111111111111111</x:v>
      </x:c>
    </x:row>
    <x:row r="75">
      <x:c r="A75" s="45" t="n">
        <x:v>71</x:v>
      </x:c>
      <x:c r="B75" s="29" t="str">
        <x:v>WhatsApp</x:v>
      </x:c>
      <x:c r="C75" s="29" t="str">
        <x:v>ISRM Ukraine</x:v>
      </x:c>
      <x:c r="D75" s="29" t="str">
        <x:v>Tetiana</x:v>
      </x:c>
      <x:c r="E75" s="29" t="str">
        <x:v>Tetiana (surname unknown)</x:v>
      </x:c>
      <x:c r="F75" s="29" t="str">
        <x:v>‎+380677166492</x:v>
      </x:c>
      <x:c r="G75" s="29" t="str">
        <x:v>Ukraine</x:v>
      </x:c>
      <x:c r="H75" s="29"/>
      <x:c r="I75" s="29"/>
      <x:c r="J75" s="29" t="str">
        <x:v>—</x:v>
      </x:c>
      <x:c r="K75" s="29" t="str">
        <x:v>—</x:v>
      </x:c>
      <x:c r="L75" s="29" t="str">
        <x:v>To classify</x:v>
      </x:c>
      <x:c r="M75" s="29"/>
      <x:c r="N75" s="29"/>
      <x:c r="O75" s="29" t="str">
        <x:v>Partial</x:v>
      </x:c>
      <x:c r="P75" s="29" t="str">
        <x:v>Low</x:v>
      </x:c>
      <x:c r="Q75" s="46" t="str">
        <x:v>No</x:v>
      </x:c>
      <x:c r="R75" s="29" t="str">
        <x:v>Member / participant</x:v>
      </x:c>
      <x:c r="S75" s="29" t="str">
        <x:v>Unqualified / research pending</x:v>
      </x:c>
      <x:c r="T75" s="29" t="str">
        <x:v>Identity completion pending</x:v>
      </x:c>
      <x:c r="U75" s="29" t="str">
        <x:v>Low</x:v>
      </x:c>
      <x:c r="V75" s="29" t="str">
        <x:v>No reliable commercial signal from the available data.</x:v>
      </x:c>
      <x:c r="W75" s="29" t="str">
        <x:v>Resolve identity and current role through a consensual group-admin or direct-message check before any outreach.</x:v>
      </x:c>
      <x:c r="X75" s="29" t="str">
        <x:v>Unassigned</x:v>
      </x:c>
      <x:c r="Y75" s="32" t="n">
        <x:v>46262</x:v>
      </x:c>
      <x:c r="Z75" s="29" t="str">
        <x:v>Not recorded — internal CRM only</x:v>
      </x:c>
      <x:c r="AA75" s="29" t="str">
        <x:v>Phone / closed-group source; human review required</x:v>
      </x:c>
      <x:c r="AB75" s="29" t="str">
        <x:v>Unqualified / research pending</x:v>
      </x:c>
      <x:c r="AC75" s="29" t="str"/>
      <x:c r="AD75" s="29" t="str">
        <x:f>E75&amp;" | "&amp;J75&amp;" | "&amp;K75&amp;" | "&amp;F75</x:f>
        <x:v>Tetiana (surname unknown) | — | — | ‎+380677166492</x:v>
      </x:c>
      <x:c r="AE75" s="31" t="n">
        <x:f>(IF(OR(O75="Confirmed",O75="Confirmed — phone matched"),2,IF(OR(O75="Self-identified",O75="Probable"),1,0))+IF(J75&lt;&gt;"—",1,0)+IF(K75&lt;&gt;"—",1,0)+IF(L75&lt;&gt;"To classify",1,0)+IF(OR(M75&lt;&gt;"",N75&lt;&gt;""),1,0)+IF(H75&lt;&gt;"",1,0)+IF(AB75&lt;&gt;"",1,0)+IF(X75&lt;&gt;"Unassigned",1,0))/9</x:f>
        <x:v>0.1111111111111111</x:v>
      </x:c>
    </x:row>
    <x:row r="76">
      <x:c r="A76" s="45" t="n">
        <x:v>72</x:v>
      </x:c>
      <x:c r="B76" s="29" t="str">
        <x:v>WhatsApp</x:v>
      </x:c>
      <x:c r="C76" s="29" t="str">
        <x:v>ISRM Ukraine</x:v>
      </x:c>
      <x:c r="D76" s="29" t="str">
        <x:v>Tetiana Cherniavska</x:v>
      </x:c>
      <x:c r="E76" s="29" t="str">
        <x:v>Tetiana Cherniavska</x:v>
      </x:c>
      <x:c r="F76" s="29" t="str">
        <x:v>‎+380676417979</x:v>
      </x:c>
      <x:c r="G76" s="29" t="str">
        <x:v>Ukraine</x:v>
      </x:c>
      <x:c r="H76" s="29"/>
      <x:c r="I76" s="29"/>
      <x:c r="J76" s="29" t="str">
        <x:v>Venbest LLC</x:v>
      </x:c>
      <x:c r="K76" s="29" t="str">
        <x:v>Risk Analyst</x:v>
      </x:c>
      <x:c r="L76" s="29" t="str">
        <x:v>Security / risk / resilience</x:v>
      </x:c>
      <x:c r="M76" s="29"/>
      <x:c r="N76" s="29" t="str">
        <x:v>https://vespergroup.se/en/security-and-safety-achieving-business-goals-in-ukraine/</x:v>
      </x:c>
      <x:c r="O76" s="29" t="str">
        <x:v>Self-identified</x:v>
      </x:c>
      <x:c r="P76" s="29" t="str">
        <x:v>Medium-high</x:v>
      </x:c>
      <x:c r="Q76" s="46" t="str">
        <x:v>No</x:v>
      </x:c>
      <x:c r="R76" s="29" t="str">
        <x:v>Institutional partner candidate</x:v>
      </x:c>
      <x:c r="S76" s="29" t="str">
        <x:v>Potential partner / referral</x:v>
      </x:c>
      <x:c r="T76" s="29" t="str">
        <x:v>Identity stated; professional verification pending</x:v>
      </x:c>
      <x:c r="U76" s="29" t="str">
        <x:v>High</x:v>
      </x:c>
      <x:c r="V76" s="29" t="str">
        <x:v>Risk analyst inside a major Ukrainian security business; strong ecosystem fit.</x:v>
      </x:c>
      <x:c r="W76" s="29" t="str">
        <x:v>Propose an expert exchange and identify Venbest legal/compliance decision-makers.</x:v>
      </x:c>
      <x:c r="X76" s="29" t="str">
        <x:v>Unassigned</x:v>
      </x:c>
      <x:c r="Y76" s="32" t="n">
        <x:v>46262</x:v>
      </x:c>
      <x:c r="Z76" s="29" t="str">
        <x:v>Not recorded — internal CRM only</x:v>
      </x:c>
      <x:c r="AA76" s="29" t="str">
        <x:v>Phone / closed-group source; human review required</x:v>
      </x:c>
      <x:c r="AB76" s="29" t="str">
        <x:v>Security / risk / resilience; Security, strategic risk and crisis management; Potential partner / referral</x:v>
      </x:c>
      <x:c r="AC76" s="29" t="str">
        <x:v>Risk Analyst in Venbest LLC</x:v>
      </x:c>
      <x:c r="AD76" s="29" t="str">
        <x:f>E76&amp;" | "&amp;J76&amp;" | "&amp;K76&amp;" | "&amp;F76</x:f>
        <x:v>Tetiana Cherniavska | Venbest LLC | Risk Analyst | ‎+380676417979</x:v>
      </x:c>
      <x:c r="AE76" s="31" t="n">
        <x:f>(IF(OR(O76="Confirmed",O76="Confirmed — phone matched"),2,IF(OR(O76="Self-identified",O76="Probable"),1,0))+IF(J76&lt;&gt;"—",1,0)+IF(K76&lt;&gt;"—",1,0)+IF(L76&lt;&gt;"To classify",1,0)+IF(OR(M76&lt;&gt;"",N76&lt;&gt;""),1,0)+IF(H76&lt;&gt;"",1,0)+IF(AB76&lt;&gt;"",1,0)+IF(X76&lt;&gt;"Unassigned",1,0))/9</x:f>
        <x:v>0.6666666666666666</x:v>
      </x:c>
    </x:row>
    <x:row r="77">
      <x:c r="A77" s="45" t="n">
        <x:v>73</x:v>
      </x:c>
      <x:c r="B77" s="29" t="str">
        <x:v>WhatsApp</x:v>
      </x:c>
      <x:c r="C77" s="29" t="str">
        <x:v>ISRM Ukraine</x:v>
      </x:c>
      <x:c r="D77" s="29" t="str">
        <x:v>Toby Illingworth</x:v>
      </x:c>
      <x:c r="E77" s="29" t="str">
        <x:v>Toby Illingworth</x:v>
      </x:c>
      <x:c r="F77" s="29" t="str">
        <x:v>‎+447772864683</x:v>
      </x:c>
      <x:c r="G77" s="29" t="str">
        <x:v>United Kingdom</x:v>
      </x:c>
      <x:c r="H77" s="29"/>
      <x:c r="I77" s="29"/>
      <x:c r="J77" s="29" t="str">
        <x:v>Yashchenko Foundation</x:v>
      </x:c>
      <x:c r="K77" s="29" t="str">
        <x:v>Founder</x:v>
      </x:c>
      <x:c r="L77" s="29" t="str">
        <x:v>Business / advisory</x:v>
      </x:c>
      <x:c r="M77" s="29"/>
      <x:c r="N77" s="29"/>
      <x:c r="O77" s="29" t="str">
        <x:v>Self-identified</x:v>
      </x:c>
      <x:c r="P77" s="29" t="str">
        <x:v>Medium-high</x:v>
      </x:c>
      <x:c r="Q77" s="46" t="str">
        <x:v>No</x:v>
      </x:c>
      <x:c r="R77" s="29" t="str">
        <x:v>Member / participant</x:v>
      </x:c>
      <x:c r="S77" s="29" t="str">
        <x:v>Potential client</x:v>
      </x:c>
      <x:c r="T77" s="29" t="str">
        <x:v>Identity stated; professional verification pending</x:v>
      </x:c>
      <x:c r="U77" s="29" t="str">
        <x:v>High</x:v>
      </x:c>
      <x:c r="V77" s="29" t="str">
        <x:v>Foundation founder; possible NGO, governance and cross-border legal needs.</x:v>
      </x:c>
      <x:c r="W77" s="29" t="str">
        <x:v>Validate foundation activity and approach around governance, grants and Ukraine operations.</x:v>
      </x:c>
      <x:c r="X77" s="29" t="str">
        <x:v>Unassigned</x:v>
      </x:c>
      <x:c r="Y77" s="32" t="n">
        <x:v>46262</x:v>
      </x:c>
      <x:c r="Z77" s="29" t="str">
        <x:v>Not recorded — internal CRM only</x:v>
      </x:c>
      <x:c r="AA77" s="29" t="str">
        <x:v>Phone / closed-group source; human review required</x:v>
      </x:c>
      <x:c r="AB77" s="29" t="str">
        <x:v>Business / advisory; Leadership, advisory and business continuity; Potential client</x:v>
      </x:c>
      <x:c r="AC77" s="29" t="str">
        <x:v>Founder, Yashchenko Foundation</x:v>
      </x:c>
      <x:c r="AD77" s="29" t="str">
        <x:f>E77&amp;" | "&amp;J77&amp;" | "&amp;K77&amp;" | "&amp;F77</x:f>
        <x:v>Toby Illingworth | Yashchenko Foundation | Founder | ‎+447772864683</x:v>
      </x:c>
      <x:c r="AE77" s="31" t="n">
        <x:f>(IF(OR(O77="Confirmed",O77="Confirmed — phone matched"),2,IF(OR(O77="Self-identified",O77="Probable"),1,0))+IF(J77&lt;&gt;"—",1,0)+IF(K77&lt;&gt;"—",1,0)+IF(L77&lt;&gt;"To classify",1,0)+IF(OR(M77&lt;&gt;"",N77&lt;&gt;""),1,0)+IF(H77&lt;&gt;"",1,0)+IF(AB77&lt;&gt;"",1,0)+IF(X77&lt;&gt;"Unassigned",1,0))/9</x:f>
        <x:v>0.5555555555555556</x:v>
      </x:c>
    </x:row>
    <x:row r="78">
      <x:c r="A78" s="45" t="n">
        <x:v>74</x:v>
      </x:c>
      <x:c r="B78" s="29" t="str">
        <x:v>WhatsApp</x:v>
      </x:c>
      <x:c r="C78" s="29" t="str">
        <x:v>ISRM Ukraine</x:v>
      </x:c>
      <x:c r="D78" s="29" t="str">
        <x:v>Tymofii SM HelpAgeInt</x:v>
      </x:c>
      <x:c r="E78" s="29" t="str">
        <x:v>Tymofii (surname unknown)</x:v>
      </x:c>
      <x:c r="F78" s="29" t="str">
        <x:v>‎+380503552898</x:v>
      </x:c>
      <x:c r="G78" s="29" t="str">
        <x:v>Ukraine</x:v>
      </x:c>
      <x:c r="H78" s="29"/>
      <x:c r="I78" s="29"/>
      <x:c r="J78" s="29" t="str">
        <x:v>HelpAge International</x:v>
      </x:c>
      <x:c r="K78" s="29" t="str">
        <x:v>Security Manager</x:v>
      </x:c>
      <x:c r="L78" s="29" t="str">
        <x:v>Humanitarian / NGO</x:v>
      </x:c>
      <x:c r="M78" s="29"/>
      <x:c r="N78" s="29" t="str">
        <x:v>https://www.helpage.org/</x:v>
      </x:c>
      <x:c r="O78" s="29" t="str">
        <x:v>Partial</x:v>
      </x:c>
      <x:c r="P78" s="29" t="str">
        <x:v>Medium-high</x:v>
      </x:c>
      <x:c r="Q78" s="46" t="str">
        <x:v>No</x:v>
      </x:c>
      <x:c r="R78" s="29" t="str">
        <x:v>Member / participant</x:v>
      </x:c>
      <x:c r="S78" s="29" t="str">
        <x:v>Potential client</x:v>
      </x:c>
      <x:c r="T78" s="29" t="str">
        <x:v>Identity completion pending</x:v>
      </x:c>
      <x:c r="U78" s="29" t="str">
        <x:v>High</x:v>
      </x:c>
      <x:c r="V78" s="29" t="str">
        <x:v>NGO security manager with duty-of-care, contracting and incident needs.</x:v>
      </x:c>
      <x:c r="W78" s="29" t="str">
        <x:v>Resolve surname, then tailor an NGO legal/compliance approach.</x:v>
      </x:c>
      <x:c r="X78" s="29" t="str">
        <x:v>Unassigned</x:v>
      </x:c>
      <x:c r="Y78" s="32" t="n">
        <x:v>46262</x:v>
      </x:c>
      <x:c r="Z78" s="29" t="str">
        <x:v>Not recorded — internal CRM only</x:v>
      </x:c>
      <x:c r="AA78" s="29" t="str">
        <x:v>Phone / closed-group source; human review required</x:v>
      </x:c>
      <x:c r="AB78" s="29" t="str">
        <x:v>Humanitarian / NGO; Humanitarian security and duty of care; Potential client</x:v>
      </x:c>
      <x:c r="AC78" s="29" t="str"/>
      <x:c r="AD78" s="29" t="str">
        <x:f>E78&amp;" | "&amp;J78&amp;" | "&amp;K78&amp;" | "&amp;F78</x:f>
        <x:v>Tymofii (surname unknown) | HelpAge International | Security Manager | ‎+380503552898</x:v>
      </x:c>
      <x:c r="AE78" s="31" t="n">
        <x:f>(IF(OR(O78="Confirmed",O78="Confirmed — phone matched"),2,IF(OR(O78="Self-identified",O78="Probable"),1,0))+IF(J78&lt;&gt;"—",1,0)+IF(K78&lt;&gt;"—",1,0)+IF(L78&lt;&gt;"To classify",1,0)+IF(OR(M78&lt;&gt;"",N78&lt;&gt;""),1,0)+IF(H78&lt;&gt;"",1,0)+IF(AB78&lt;&gt;"",1,0)+IF(X78&lt;&gt;"Unassigned",1,0))/9</x:f>
        <x:v>0.5555555555555556</x:v>
      </x:c>
    </x:row>
    <x:row r="79">
      <x:c r="A79" s="45" t="n">
        <x:v>75</x:v>
      </x:c>
      <x:c r="B79" s="29" t="str">
        <x:v>WhatsApp</x:v>
      </x:c>
      <x:c r="C79" s="29" t="str">
        <x:v>ISRM Ukraine</x:v>
      </x:c>
      <x:c r="D79" s="29" t="str">
        <x:v>Uliana</x:v>
      </x:c>
      <x:c r="E79" s="29" t="str">
        <x:v>Uliana (surname unknown)</x:v>
      </x:c>
      <x:c r="F79" s="29" t="str">
        <x:v>‎+380669572252</x:v>
      </x:c>
      <x:c r="G79" s="29" t="str">
        <x:v>Ukraine</x:v>
      </x:c>
      <x:c r="H79" s="29"/>
      <x:c r="I79" s="29"/>
      <x:c r="J79" s="29" t="str">
        <x:v>—</x:v>
      </x:c>
      <x:c r="K79" s="29" t="str">
        <x:v>—</x:v>
      </x:c>
      <x:c r="L79" s="29" t="str">
        <x:v>To classify</x:v>
      </x:c>
      <x:c r="M79" s="29"/>
      <x:c r="N79" s="29"/>
      <x:c r="O79" s="29" t="str">
        <x:v>Partial</x:v>
      </x:c>
      <x:c r="P79" s="29" t="str">
        <x:v>Low</x:v>
      </x:c>
      <x:c r="Q79" s="46" t="str">
        <x:v>No</x:v>
      </x:c>
      <x:c r="R79" s="29" t="str">
        <x:v>Member / participant</x:v>
      </x:c>
      <x:c r="S79" s="29" t="str">
        <x:v>Unqualified / research pending</x:v>
      </x:c>
      <x:c r="T79" s="29" t="str">
        <x:v>Identity completion pending</x:v>
      </x:c>
      <x:c r="U79" s="29" t="str">
        <x:v>Low</x:v>
      </x:c>
      <x:c r="V79" s="29" t="str">
        <x:v>No reliable commercial signal from the available data.</x:v>
      </x:c>
      <x:c r="W79" s="29" t="str">
        <x:v>Resolve identity and current role through a consensual group-admin or direct-message check before any outreach.</x:v>
      </x:c>
      <x:c r="X79" s="29" t="str">
        <x:v>Unassigned</x:v>
      </x:c>
      <x:c r="Y79" s="32" t="n">
        <x:v>46262</x:v>
      </x:c>
      <x:c r="Z79" s="29" t="str">
        <x:v>Not recorded — internal CRM only</x:v>
      </x:c>
      <x:c r="AA79" s="29" t="str">
        <x:v>Phone / closed-group source; human review required</x:v>
      </x:c>
      <x:c r="AB79" s="29" t="str">
        <x:v>Unqualified / research pending</x:v>
      </x:c>
      <x:c r="AC79" s="29" t="str"/>
      <x:c r="AD79" s="29" t="str">
        <x:f>E79&amp;" | "&amp;J79&amp;" | "&amp;K79&amp;" | "&amp;F79</x:f>
        <x:v>Uliana (surname unknown) | — | — | ‎+380669572252</x:v>
      </x:c>
      <x:c r="AE79" s="31" t="n">
        <x:f>(IF(OR(O79="Confirmed",O79="Confirmed — phone matched"),2,IF(OR(O79="Self-identified",O79="Probable"),1,0))+IF(J79&lt;&gt;"—",1,0)+IF(K79&lt;&gt;"—",1,0)+IF(L79&lt;&gt;"To classify",1,0)+IF(OR(M79&lt;&gt;"",N79&lt;&gt;""),1,0)+IF(H79&lt;&gt;"",1,0)+IF(AB79&lt;&gt;"",1,0)+IF(X79&lt;&gt;"Unassigned",1,0))/9</x:f>
        <x:v>0.1111111111111111</x:v>
      </x:c>
    </x:row>
    <x:row r="80">
      <x:c r="A80" s="45" t="n">
        <x:v>76</x:v>
      </x:c>
      <x:c r="B80" s="29" t="str">
        <x:v>WhatsApp</x:v>
      </x:c>
      <x:c r="C80" s="29" t="str">
        <x:v>ISRM Ukraine</x:v>
      </x:c>
      <x:c r="D80" s="29" t="str">
        <x:v>ValChord</x:v>
      </x:c>
      <x:c r="E80" s="29" t="str">
        <x:v>ValChord (identity unresolved)</x:v>
      </x:c>
      <x:c r="F80" s="29" t="str">
        <x:v>‎+380975149826</x:v>
      </x:c>
      <x:c r="G80" s="29" t="str">
        <x:v>Ukraine</x:v>
      </x:c>
      <x:c r="H80" s="29"/>
      <x:c r="I80" s="29"/>
      <x:c r="J80" s="29" t="str">
        <x:v>—</x:v>
      </x:c>
      <x:c r="K80" s="29" t="str">
        <x:v>—</x:v>
      </x:c>
      <x:c r="L80" s="29" t="str">
        <x:v>To classify</x:v>
      </x:c>
      <x:c r="M80" s="29"/>
      <x:c r="N80" s="29"/>
      <x:c r="O80" s="29" t="str">
        <x:v>Partial</x:v>
      </x:c>
      <x:c r="P80" s="29" t="str">
        <x:v>Low</x:v>
      </x:c>
      <x:c r="Q80" s="46" t="str">
        <x:v>No</x:v>
      </x:c>
      <x:c r="R80" s="29" t="str">
        <x:v>Member / participant</x:v>
      </x:c>
      <x:c r="S80" s="29" t="str">
        <x:v>Unqualified / research pending</x:v>
      </x:c>
      <x:c r="T80" s="29" t="str">
        <x:v>Identity completion pending</x:v>
      </x:c>
      <x:c r="U80" s="29" t="str">
        <x:v>Low</x:v>
      </x:c>
      <x:c r="V80" s="29" t="str">
        <x:v>No reliable commercial signal from the available data.</x:v>
      </x:c>
      <x:c r="W80" s="29" t="str">
        <x:v>Resolve identity and current role through a consensual group-admin or direct-message check before any outreach.</x:v>
      </x:c>
      <x:c r="X80" s="29" t="str">
        <x:v>Unassigned</x:v>
      </x:c>
      <x:c r="Y80" s="32" t="n">
        <x:v>46262</x:v>
      </x:c>
      <x:c r="Z80" s="29" t="str">
        <x:v>Not recorded — internal CRM only</x:v>
      </x:c>
      <x:c r="AA80" s="29" t="str">
        <x:v>Phone / closed-group source; human review required</x:v>
      </x:c>
      <x:c r="AB80" s="29" t="str">
        <x:v>Unqualified / research pending</x:v>
      </x:c>
      <x:c r="AC80" s="29" t="str">
        <x:v>Online</x:v>
      </x:c>
      <x:c r="AD80" s="29" t="str">
        <x:f>E80&amp;" | "&amp;J80&amp;" | "&amp;K80&amp;" | "&amp;F80</x:f>
        <x:v>ValChord (identity unresolved) | — | — | ‎+380975149826</x:v>
      </x:c>
      <x:c r="AE80" s="31" t="n">
        <x:f>(IF(OR(O80="Confirmed",O80="Confirmed — phone matched"),2,IF(OR(O80="Self-identified",O80="Probable"),1,0))+IF(J80&lt;&gt;"—",1,0)+IF(K80&lt;&gt;"—",1,0)+IF(L80&lt;&gt;"To classify",1,0)+IF(OR(M80&lt;&gt;"",N80&lt;&gt;""),1,0)+IF(H80&lt;&gt;"",1,0)+IF(AB80&lt;&gt;"",1,0)+IF(X80&lt;&gt;"Unassigned",1,0))/9</x:f>
        <x:v>0.1111111111111111</x:v>
      </x:c>
    </x:row>
    <x:row r="81">
      <x:c r="A81" s="45" t="n">
        <x:v>77</x:v>
      </x:c>
      <x:c r="B81" s="29" t="str">
        <x:v>WhatsApp</x:v>
      </x:c>
      <x:c r="C81" s="29" t="str">
        <x:v>ISRM Ukraine</x:v>
      </x:c>
      <x:c r="D81" s="29" t="str">
        <x:v>Vasyl Piskunov</x:v>
      </x:c>
      <x:c r="E81" s="29" t="str">
        <x:v>Vasyl Piskunov</x:v>
      </x:c>
      <x:c r="F81" s="29" t="str">
        <x:v>‎+380507420079</x:v>
      </x:c>
      <x:c r="G81" s="29" t="str">
        <x:v>Ukraine</x:v>
      </x:c>
      <x:c r="H81" s="29"/>
      <x:c r="I81" s="29"/>
      <x:c r="J81" s="29" t="str">
        <x:v>INSO Ukraine</x:v>
      </x:c>
      <x:c r="K81" s="29" t="str">
        <x:v>Safety Adviser</x:v>
      </x:c>
      <x:c r="L81" s="29" t="str">
        <x:v>Security / risk / resilience</x:v>
      </x:c>
      <x:c r="M81" s="29"/>
      <x:c r="N81" s="29" t="str">
        <x:v>https://www.ngosafety.org/</x:v>
      </x:c>
      <x:c r="O81" s="29" t="str">
        <x:v>Self-identified</x:v>
      </x:c>
      <x:c r="P81" s="29" t="str">
        <x:v>Medium-high</x:v>
      </x:c>
      <x:c r="Q81" s="46" t="str">
        <x:v>No</x:v>
      </x:c>
      <x:c r="R81" s="29" t="str">
        <x:v>Connector / community multiplier</x:v>
      </x:c>
      <x:c r="S81" s="29" t="str">
        <x:v>Connector / community multiplier</x:v>
      </x:c>
      <x:c r="T81" s="29" t="str">
        <x:v>Identity stated; professional verification pending</x:v>
      </x:c>
      <x:c r="U81" s="29" t="str">
        <x:v>Medium</x:v>
      </x:c>
      <x:c r="V81" s="29" t="str">
        <x:v>Operational NGO safety network; good route to sector needs and referrals.</x:v>
      </x:c>
      <x:c r="W81" s="29" t="str">
        <x:v>Relationship-led contact and request introductions to NGO decision-makers.</x:v>
      </x:c>
      <x:c r="X81" s="29" t="str">
        <x:v>Unassigned</x:v>
      </x:c>
      <x:c r="Y81" s="32" t="n">
        <x:v>46262</x:v>
      </x:c>
      <x:c r="Z81" s="29" t="str">
        <x:v>Not recorded — internal CRM only</x:v>
      </x:c>
      <x:c r="AA81" s="29" t="str">
        <x:v>Phone / closed-group source; human review required</x:v>
      </x:c>
      <x:c r="AB81" s="29" t="str">
        <x:v>Security / risk / resilience; Security, strategic risk and crisis management; Connector / community multiplier</x:v>
      </x:c>
      <x:c r="AC81" s="29" t="str">
        <x:v>Safety Advisor, INSO</x:v>
      </x:c>
      <x:c r="AD81" s="29" t="str">
        <x:f>E81&amp;" | "&amp;J81&amp;" | "&amp;K81&amp;" | "&amp;F81</x:f>
        <x:v>Vasyl Piskunov | INSO Ukraine | Safety Adviser | ‎+380507420079</x:v>
      </x:c>
      <x:c r="AE81" s="31" t="n">
        <x:f>(IF(OR(O81="Confirmed",O81="Confirmed — phone matched"),2,IF(OR(O81="Self-identified",O81="Probable"),1,0))+IF(J81&lt;&gt;"—",1,0)+IF(K81&lt;&gt;"—",1,0)+IF(L81&lt;&gt;"To classify",1,0)+IF(OR(M81&lt;&gt;"",N81&lt;&gt;""),1,0)+IF(H81&lt;&gt;"",1,0)+IF(AB81&lt;&gt;"",1,0)+IF(X81&lt;&gt;"Unassigned",1,0))/9</x:f>
        <x:v>0.6666666666666666</x:v>
      </x:c>
    </x:row>
    <x:row r="82">
      <x:c r="A82" s="45" t="n">
        <x:v>78</x:v>
      </x:c>
      <x:c r="B82" s="29" t="str">
        <x:v>WhatsApp</x:v>
      </x:c>
      <x:c r="C82" s="29" t="str">
        <x:v>ISRM Ukraine</x:v>
      </x:c>
      <x:c r="D82" s="29" t="str">
        <x:v>Viktor Riabokin</x:v>
      </x:c>
      <x:c r="E82" s="29" t="str">
        <x:v>Viktor Riabokin</x:v>
      </x:c>
      <x:c r="F82" s="29" t="str">
        <x:v>‎+380967219922</x:v>
      </x:c>
      <x:c r="G82" s="29" t="str">
        <x:v>Ukraine</x:v>
      </x:c>
      <x:c r="H82" s="29"/>
      <x:c r="I82" s="29"/>
      <x:c r="J82" s="29" t="str">
        <x:v>Harvard Ukraine programme / Vidbudova</x:v>
      </x:c>
      <x:c r="K82" s="29" t="str">
        <x:v>Senior Adviser, Global Partnerships</x:v>
      </x:c>
      <x:c r="L82" s="29" t="str">
        <x:v>Energy / infrastructure / logistics</x:v>
      </x:c>
      <x:c r="M82" s="29"/>
      <x:c r="N82" s="29" t="str">
        <x:v>https://healthybuildings.hsph.harvard.edu/education/advancing-sustainable-development-of-ukraine/</x:v>
      </x:c>
      <x:c r="O82" s="29" t="str">
        <x:v>Confirmed</x:v>
      </x:c>
      <x:c r="P82" s="29" t="str">
        <x:v>High</x:v>
      </x:c>
      <x:c r="Q82" s="46" t="str">
        <x:v>No</x:v>
      </x:c>
      <x:c r="R82" s="29" t="str">
        <x:v>Member / participant</x:v>
      </x:c>
      <x:c r="S82" s="29" t="str">
        <x:v>Potential client</x:v>
      </x:c>
      <x:c r="T82" s="29" t="str">
        <x:v>Verified profile</x:v>
      </x:c>
      <x:c r="U82" s="29" t="str">
        <x:v>High</x:v>
      </x:c>
      <x:c r="V82" s="29" t="str">
        <x:v>Reconstruction/infrastructure profile with project, contract and investment legal needs.</x:v>
      </x:c>
      <x:c r="W82" s="29" t="str">
        <x:v>Partner-level outreach around reconstruction projects, contracts and investors.</x:v>
      </x:c>
      <x:c r="X82" s="29" t="str">
        <x:v>Unassigned</x:v>
      </x:c>
      <x:c r="Y82" s="32" t="n">
        <x:v>46262</x:v>
      </x:c>
      <x:c r="Z82" s="29" t="str">
        <x:v>Not recorded — internal CRM only</x:v>
      </x:c>
      <x:c r="AA82" s="29" t="str">
        <x:v>Phone / closed-group source; human review required</x:v>
      </x:c>
      <x:c r="AB82" s="29" t="str">
        <x:v>Energy / infrastructure / logistics; Critical infrastructure and operational continuity; Potential client</x:v>
      </x:c>
      <x:c r="AC82" s="29" t="str"/>
      <x:c r="AD82" s="29" t="str">
        <x:f>E82&amp;" | "&amp;J82&amp;" | "&amp;K82&amp;" | "&amp;F82</x:f>
        <x:v>Viktor Riabokin | Harvard Ukraine programme / Vidbudova | Senior Adviser, Global Partnerships | ‎+380967219922</x:v>
      </x:c>
      <x:c r="AE82" s="31" t="n">
        <x:f>(IF(OR(O82="Confirmed",O82="Confirmed — phone matched"),2,IF(OR(O82="Self-identified",O82="Probable"),1,0))+IF(J82&lt;&gt;"—",1,0)+IF(K82&lt;&gt;"—",1,0)+IF(L82&lt;&gt;"To classify",1,0)+IF(OR(M82&lt;&gt;"",N82&lt;&gt;""),1,0)+IF(H82&lt;&gt;"",1,0)+IF(AB82&lt;&gt;"",1,0)+IF(X82&lt;&gt;"Unassigned",1,0))/9</x:f>
        <x:v>0.7777777777777778</x:v>
      </x:c>
    </x:row>
    <x:row r="83">
      <x:c r="A83" s="45" t="n">
        <x:v>79</x:v>
      </x:c>
      <x:c r="B83" s="29" t="str">
        <x:v>WhatsApp</x:v>
      </x:c>
      <x:c r="C83" s="29" t="str">
        <x:v>ISRM Ukraine</x:v>
      </x:c>
      <x:c r="D83" s="29" t="str">
        <x:v>Vitalii STOLIARCHUK</x:v>
      </x:c>
      <x:c r="E83" s="29" t="str">
        <x:v>Vitalii Stoliarchuk</x:v>
      </x:c>
      <x:c r="F83" s="29" t="str">
        <x:v>‎+380982083920</x:v>
      </x:c>
      <x:c r="G83" s="29" t="str">
        <x:v>Ukraine</x:v>
      </x:c>
      <x:c r="H83" s="29"/>
      <x:c r="I83" s="29"/>
      <x:c r="J83" s="29" t="str">
        <x:v>State Design Office Yuzhnoye / aerospace R&amp;D</x:v>
      </x:c>
      <x:c r="K83" s="29" t="str">
        <x:v>Testing engineer and research leader</x:v>
      </x:c>
      <x:c r="L83" s="29" t="str">
        <x:v>Academia / research</x:v>
      </x:c>
      <x:c r="M83" s="29"/>
      <x:c r="N83" s="29" t="str">
        <x:v>https://www.b2match.com/e/cl4-digital-2025/participants/2951742</x:v>
      </x:c>
      <x:c r="O83" s="29" t="str">
        <x:v>Confirmed</x:v>
      </x:c>
      <x:c r="P83" s="29" t="str">
        <x:v>High</x:v>
      </x:c>
      <x:c r="Q83" s="46" t="str">
        <x:v>No</x:v>
      </x:c>
      <x:c r="R83" s="29" t="str">
        <x:v>Member / participant</x:v>
      </x:c>
      <x:c r="S83" s="29" t="str">
        <x:v>Potential client</x:v>
      </x:c>
      <x:c r="T83" s="29" t="str">
        <x:v>Verified profile</x:v>
      </x:c>
      <x:c r="U83" s="29" t="str">
        <x:v>High</x:v>
      </x:c>
      <x:c r="V83" s="29" t="str">
        <x:v>Deep-tech and aerospace profile; potential IP, contracting and investment needs.</x:v>
      </x:c>
      <x:c r="W83" s="29" t="str">
        <x:v>Explore corporate/IP/export-control requirements and investor readiness.</x:v>
      </x:c>
      <x:c r="X83" s="29" t="str">
        <x:v>Unassigned</x:v>
      </x:c>
      <x:c r="Y83" s="32" t="n">
        <x:v>46262</x:v>
      </x:c>
      <x:c r="Z83" s="29" t="str">
        <x:v>Not recorded — internal CRM only</x:v>
      </x:c>
      <x:c r="AA83" s="29" t="str">
        <x:v>Phone / closed-group source; human review required</x:v>
      </x:c>
      <x:c r="AB83" s="29" t="str">
        <x:v>Academia / research; Research, education and knowledge transfer; Potential client</x:v>
      </x:c>
      <x:c r="AC83" s="29" t="str"/>
      <x:c r="AD83" s="29" t="str">
        <x:f>E83&amp;" | "&amp;J83&amp;" | "&amp;K83&amp;" | "&amp;F83</x:f>
        <x:v>Vitalii Stoliarchuk | State Design Office Yuzhnoye / aerospace R&amp;D | Testing engineer and research leader | ‎+380982083920</x:v>
      </x:c>
      <x:c r="AE83" s="31" t="n">
        <x:f>(IF(OR(O83="Confirmed",O83="Confirmed — phone matched"),2,IF(OR(O83="Self-identified",O83="Probable"),1,0))+IF(J83&lt;&gt;"—",1,0)+IF(K83&lt;&gt;"—",1,0)+IF(L83&lt;&gt;"To classify",1,0)+IF(OR(M83&lt;&gt;"",N83&lt;&gt;""),1,0)+IF(H83&lt;&gt;"",1,0)+IF(AB83&lt;&gt;"",1,0)+IF(X83&lt;&gt;"Unassigned",1,0))/9</x:f>
        <x:v>0.7777777777777778</x:v>
      </x:c>
    </x:row>
    <x:row r="84">
      <x:c r="A84" s="45" t="n">
        <x:v>80</x:v>
      </x:c>
      <x:c r="B84" s="29" t="str">
        <x:v>WhatsApp</x:v>
      </x:c>
      <x:c r="C84" s="29" t="str">
        <x:v>ISRM Ukraine</x:v>
      </x:c>
      <x:c r="D84" s="29" t="str">
        <x:v>Vitaly Muraviev</x:v>
      </x:c>
      <x:c r="E84" s="29" t="str">
        <x:v>Vitaly Muraviev</x:v>
      </x:c>
      <x:c r="F84" s="29" t="str">
        <x:v>‎+380503305490</x:v>
      </x:c>
      <x:c r="G84" s="29" t="str">
        <x:v>Ukraine</x:v>
      </x:c>
      <x:c r="H84" s="29"/>
      <x:c r="I84" s="29"/>
      <x:c r="J84" s="29" t="str">
        <x:v>Independent</x:v>
      </x:c>
      <x:c r="K84" s="29" t="str">
        <x:v>Freelance Consultant</x:v>
      </x:c>
      <x:c r="L84" s="29" t="str">
        <x:v>Business / advisory</x:v>
      </x:c>
      <x:c r="M84" s="29" t="str">
        <x:v>https://ua.linkedin.com/in/vitaly-muraviev-48a7434</x:v>
      </x:c>
      <x:c r="N84" s="29"/>
      <x:c r="O84" s="29" t="str">
        <x:v>Confirmed</x:v>
      </x:c>
      <x:c r="P84" s="29" t="str">
        <x:v>High</x:v>
      </x:c>
      <x:c r="Q84" s="46" t="str">
        <x:v>No</x:v>
      </x:c>
      <x:c r="R84" s="29" t="str">
        <x:v>Connector / community multiplier</x:v>
      </x:c>
      <x:c r="S84" s="29" t="str">
        <x:v>Connector / community multiplier</x:v>
      </x:c>
      <x:c r="T84" s="29" t="str">
        <x:v>Verified profile</x:v>
      </x:c>
      <x:c r="U84" s="29" t="str">
        <x:v>Medium</x:v>
      </x:c>
      <x:c r="V84" s="29" t="str">
        <x:v>Independent consultant with local network; commercial fit depends on specialty.</x:v>
      </x:c>
      <x:c r="W84" s="29" t="str">
        <x:v>Clarify sector focus and explore reciprocal referrals.</x:v>
      </x:c>
      <x:c r="X84" s="29" t="str">
        <x:v>Unassigned</x:v>
      </x:c>
      <x:c r="Y84" s="32" t="n">
        <x:v>46262</x:v>
      </x:c>
      <x:c r="Z84" s="29" t="str">
        <x:v>Not recorded — internal CRM only</x:v>
      </x:c>
      <x:c r="AA84" s="29" t="str">
        <x:v>Phone / closed-group source; human review required</x:v>
      </x:c>
      <x:c r="AB84" s="29" t="str">
        <x:v>Business / advisory; Leadership, advisory and business continuity; Connector / community multiplier</x:v>
      </x:c>
      <x:c r="AC84" s="29" t="str"/>
      <x:c r="AD84" s="29" t="str">
        <x:f>E84&amp;" | "&amp;J84&amp;" | "&amp;K84&amp;" | "&amp;F84</x:f>
        <x:v>Vitaly Muraviev | Independent | Freelance Consultant | ‎+380503305490</x:v>
      </x:c>
      <x:c r="AE84" s="31" t="n">
        <x:f>(IF(OR(O84="Confirmed",O84="Confirmed — phone matched"),2,IF(OR(O84="Self-identified",O84="Probable"),1,0))+IF(J84&lt;&gt;"—",1,0)+IF(K84&lt;&gt;"—",1,0)+IF(L84&lt;&gt;"To classify",1,0)+IF(OR(M84&lt;&gt;"",N84&lt;&gt;""),1,0)+IF(H84&lt;&gt;"",1,0)+IF(AB84&lt;&gt;"",1,0)+IF(X84&lt;&gt;"Unassigned",1,0))/9</x:f>
        <x:v>0.7777777777777778</x:v>
      </x:c>
    </x:row>
    <x:row r="85">
      <x:c r="A85" s="45" t="n">
        <x:v>81</x:v>
      </x:c>
      <x:c r="B85" s="29" t="str">
        <x:v>WhatsApp</x:v>
      </x:c>
      <x:c r="C85" s="29" t="str">
        <x:v>ISRM Ukraine</x:v>
      </x:c>
      <x:c r="D85" s="29" t="str">
        <x:v>Vlad</x:v>
      </x:c>
      <x:c r="E85" s="29" t="str">
        <x:v>Vlad (surname unknown)</x:v>
      </x:c>
      <x:c r="F85" s="29" t="str">
        <x:v>‎+380682227900</x:v>
      </x:c>
      <x:c r="G85" s="29" t="str">
        <x:v>Ukraine</x:v>
      </x:c>
      <x:c r="H85" s="29"/>
      <x:c r="I85" s="29"/>
      <x:c r="J85" s="29" t="str">
        <x:v>—</x:v>
      </x:c>
      <x:c r="K85" s="29" t="str">
        <x:v>—</x:v>
      </x:c>
      <x:c r="L85" s="29" t="str">
        <x:v>To classify</x:v>
      </x:c>
      <x:c r="M85" s="29"/>
      <x:c r="N85" s="29"/>
      <x:c r="O85" s="29" t="str">
        <x:v>Partial</x:v>
      </x:c>
      <x:c r="P85" s="29" t="str">
        <x:v>Low</x:v>
      </x:c>
      <x:c r="Q85" s="46" t="str">
        <x:v>No</x:v>
      </x:c>
      <x:c r="R85" s="29" t="str">
        <x:v>Member / participant</x:v>
      </x:c>
      <x:c r="S85" s="29" t="str">
        <x:v>Unqualified / research pending</x:v>
      </x:c>
      <x:c r="T85" s="29" t="str">
        <x:v>Identity completion pending</x:v>
      </x:c>
      <x:c r="U85" s="29" t="str">
        <x:v>Low</x:v>
      </x:c>
      <x:c r="V85" s="29" t="str">
        <x:v>No reliable commercial signal from the available data.</x:v>
      </x:c>
      <x:c r="W85" s="29" t="str">
        <x:v>Resolve identity and current role through a consensual group-admin or direct-message check before any outreach.</x:v>
      </x:c>
      <x:c r="X85" s="29" t="str">
        <x:v>Unassigned</x:v>
      </x:c>
      <x:c r="Y85" s="32" t="n">
        <x:v>46262</x:v>
      </x:c>
      <x:c r="Z85" s="29" t="str">
        <x:v>Not recorded — internal CRM only</x:v>
      </x:c>
      <x:c r="AA85" s="29" t="str">
        <x:v>Phone / closed-group source; human review required</x:v>
      </x:c>
      <x:c r="AB85" s="29" t="str">
        <x:v>Unqualified / research pending</x:v>
      </x:c>
      <x:c r="AC85" s="29" t="str"/>
      <x:c r="AD85" s="29" t="str">
        <x:f>E85&amp;" | "&amp;J85&amp;" | "&amp;K85&amp;" | "&amp;F85</x:f>
        <x:v>Vlad (surname unknown) | — | — | ‎+380682227900</x:v>
      </x:c>
      <x:c r="AE85" s="31" t="n">
        <x:f>(IF(OR(O85="Confirmed",O85="Confirmed — phone matched"),2,IF(OR(O85="Self-identified",O85="Probable"),1,0))+IF(J85&lt;&gt;"—",1,0)+IF(K85&lt;&gt;"—",1,0)+IF(L85&lt;&gt;"To classify",1,0)+IF(OR(M85&lt;&gt;"",N85&lt;&gt;""),1,0)+IF(H85&lt;&gt;"",1,0)+IF(AB85&lt;&gt;"",1,0)+IF(X85&lt;&gt;"Unassigned",1,0))/9</x:f>
        <x:v>0.1111111111111111</x:v>
      </x:c>
    </x:row>
    <x:row r="86">
      <x:c r="A86" s="45" t="n">
        <x:v>82</x:v>
      </x:c>
      <x:c r="B86" s="29" t="str">
        <x:v>WhatsApp</x:v>
      </x:c>
      <x:c r="C86" s="29" t="str">
        <x:v>ISRM Ukraine</x:v>
      </x:c>
      <x:c r="D86" s="29" t="str">
        <x:v>Volodymyr</x:v>
      </x:c>
      <x:c r="E86" s="29" t="str">
        <x:v>Volodymyr (surname unknown)</x:v>
      </x:c>
      <x:c r="F86" s="29" t="str">
        <x:v>‎+380672445525</x:v>
      </x:c>
      <x:c r="G86" s="29" t="str">
        <x:v>Ukraine</x:v>
      </x:c>
      <x:c r="H86" s="29"/>
      <x:c r="I86" s="29"/>
      <x:c r="J86" s="29" t="str">
        <x:v>Caritas-Spes Ukraine</x:v>
      </x:c>
      <x:c r="K86" s="29" t="str">
        <x:v>Risk &amp; Security Manager</x:v>
      </x:c>
      <x:c r="L86" s="29" t="str">
        <x:v>Humanitarian / NGO</x:v>
      </x:c>
      <x:c r="M86" s="29"/>
      <x:c r="N86" s="29" t="str">
        <x:v>https://caritas-spes.org/en</x:v>
      </x:c>
      <x:c r="O86" s="29" t="str">
        <x:v>Partial</x:v>
      </x:c>
      <x:c r="P86" s="29" t="str">
        <x:v>Medium-high</x:v>
      </x:c>
      <x:c r="Q86" s="46" t="str">
        <x:v>No</x:v>
      </x:c>
      <x:c r="R86" s="29" t="str">
        <x:v>Member / participant</x:v>
      </x:c>
      <x:c r="S86" s="29" t="str">
        <x:v>Potential client</x:v>
      </x:c>
      <x:c r="T86" s="29" t="str">
        <x:v>Identity completion pending</x:v>
      </x:c>
      <x:c r="U86" s="29" t="str">
        <x:v>High</x:v>
      </x:c>
      <x:c r="V86" s="29" t="str">
        <x:v>Senior NGO risk role with concrete compliance, employment and incident-response needs.</x:v>
      </x:c>
      <x:c r="W86" s="29" t="str">
        <x:v>Resolve surname through Caritas/ISRM and request a focused needs call.</x:v>
      </x:c>
      <x:c r="X86" s="29" t="str">
        <x:v>Unassigned</x:v>
      </x:c>
      <x:c r="Y86" s="32" t="n">
        <x:v>46262</x:v>
      </x:c>
      <x:c r="Z86" s="29" t="str">
        <x:v>Not recorded — internal CRM only</x:v>
      </x:c>
      <x:c r="AA86" s="29" t="str">
        <x:v>Phone / closed-group source; human review required</x:v>
      </x:c>
      <x:c r="AB86" s="29" t="str">
        <x:v>Humanitarian / NGO; Humanitarian security and duty of care; Potential client</x:v>
      </x:c>
      <x:c r="AC86" s="29" t="str">
        <x:v>Volodymyr, Caritas Spes R&amp;SM</x:v>
      </x:c>
      <x:c r="AD86" s="29" t="str">
        <x:f>E86&amp;" | "&amp;J86&amp;" | "&amp;K86&amp;" | "&amp;F86</x:f>
        <x:v>Volodymyr (surname unknown) | Caritas-Spes Ukraine | Risk &amp; Security Manager | ‎+380672445525</x:v>
      </x:c>
      <x:c r="AE86" s="31" t="n">
        <x:f>(IF(OR(O86="Confirmed",O86="Confirmed — phone matched"),2,IF(OR(O86="Self-identified",O86="Probable"),1,0))+IF(J86&lt;&gt;"—",1,0)+IF(K86&lt;&gt;"—",1,0)+IF(L86&lt;&gt;"To classify",1,0)+IF(OR(M86&lt;&gt;"",N86&lt;&gt;""),1,0)+IF(H86&lt;&gt;"",1,0)+IF(AB86&lt;&gt;"",1,0)+IF(X86&lt;&gt;"Unassigned",1,0))/9</x:f>
        <x:v>0.5555555555555556</x:v>
      </x:c>
    </x:row>
    <x:row r="87">
      <x:c r="A87" s="45" t="n">
        <x:v>83</x:v>
      </x:c>
      <x:c r="B87" s="29" t="str">
        <x:v>WhatsApp</x:v>
      </x:c>
      <x:c r="C87" s="29" t="str">
        <x:v>ISRM Ukraine</x:v>
      </x:c>
      <x:c r="D87" s="29" t="str">
        <x:v>Will Giddings</x:v>
      </x:c>
      <x:c r="E87" s="29" t="str">
        <x:v>Will Giddings</x:v>
      </x:c>
      <x:c r="F87" s="29" t="str">
        <x:v>‎+447769537301</x:v>
      </x:c>
      <x:c r="G87" s="29" t="str">
        <x:v>United Kingdom</x:v>
      </x:c>
      <x:c r="H87" s="29"/>
      <x:c r="I87" s="29"/>
      <x:c r="J87" s="29" t="str">
        <x:v>Dow Jones</x:v>
      </x:c>
      <x:c r="K87" s="29" t="str">
        <x:v>Risk Manager</x:v>
      </x:c>
      <x:c r="L87" s="29" t="str">
        <x:v>Security / risk / resilience</x:v>
      </x:c>
      <x:c r="M87" s="29"/>
      <x:c r="N87" s="29"/>
      <x:c r="O87" s="29" t="str">
        <x:v>Self-identified</x:v>
      </x:c>
      <x:c r="P87" s="29" t="str">
        <x:v>Medium-high</x:v>
      </x:c>
      <x:c r="Q87" s="46" t="str">
        <x:v>No</x:v>
      </x:c>
      <x:c r="R87" s="29" t="str">
        <x:v>Member / participant</x:v>
      </x:c>
      <x:c r="S87" s="29" t="str">
        <x:v>Potential client</x:v>
      </x:c>
      <x:c r="T87" s="29" t="str">
        <x:v>Identity stated; professional verification pending</x:v>
      </x:c>
      <x:c r="U87" s="29" t="str">
        <x:v>High</x:v>
      </x:c>
      <x:c r="V87" s="29" t="str">
        <x:v>Corporate risk manager at a global information company; investigations and compliance fit.</x:v>
      </x:c>
      <x:c r="W87" s="29" t="str">
        <x:v>Validate current remit, then offer Ukraine investigations and legal-risk support.</x:v>
      </x:c>
      <x:c r="X87" s="29" t="str">
        <x:v>Unassigned</x:v>
      </x:c>
      <x:c r="Y87" s="32" t="n">
        <x:v>46262</x:v>
      </x:c>
      <x:c r="Z87" s="29" t="str">
        <x:v>Not recorded — internal CRM only</x:v>
      </x:c>
      <x:c r="AA87" s="29" t="str">
        <x:v>Phone / closed-group source; human review required</x:v>
      </x:c>
      <x:c r="AB87" s="29" t="str">
        <x:v>Security / risk / resilience; Security, strategic risk and crisis management; Potential client</x:v>
      </x:c>
      <x:c r="AC87" s="29" t="str">
        <x:v>Will G Dow Jones Risk Manager</x:v>
      </x:c>
      <x:c r="AD87" s="29" t="str">
        <x:f>E87&amp;" | "&amp;J87&amp;" | "&amp;K87&amp;" | "&amp;F87</x:f>
        <x:v>Will Giddings | Dow Jones | Risk Manager | ‎+447769537301</x:v>
      </x:c>
      <x:c r="AE87" s="31" t="n">
        <x:f>(IF(OR(O87="Confirmed",O87="Confirmed — phone matched"),2,IF(OR(O87="Self-identified",O87="Probable"),1,0))+IF(J87&lt;&gt;"—",1,0)+IF(K87&lt;&gt;"—",1,0)+IF(L87&lt;&gt;"To classify",1,0)+IF(OR(M87&lt;&gt;"",N87&lt;&gt;""),1,0)+IF(H87&lt;&gt;"",1,0)+IF(AB87&lt;&gt;"",1,0)+IF(X87&lt;&gt;"Unassigned",1,0))/9</x:f>
        <x:v>0.5555555555555556</x:v>
      </x:c>
    </x:row>
    <x:row r="88">
      <x:c r="A88" s="45" t="n">
        <x:v>84</x:v>
      </x:c>
      <x:c r="B88" s="29" t="str">
        <x:v>WhatsApp</x:v>
      </x:c>
      <x:c r="C88" s="29" t="str">
        <x:v>ISRM Ukraine</x:v>
      </x:c>
      <x:c r="D88" s="29" t="str">
        <x:v>Yatsyno Oscar</x:v>
      </x:c>
      <x:c r="E88" s="29" t="str">
        <x:v>Oscar Yatsyno</x:v>
      </x:c>
      <x:c r="F88" s="29" t="str">
        <x:v>‎+380637151840</x:v>
      </x:c>
      <x:c r="G88" s="29" t="str">
        <x:v>Ukraine</x:v>
      </x:c>
      <x:c r="H88" s="29"/>
      <x:c r="I88" s="29"/>
      <x:c r="J88" s="29" t="str">
        <x:v>Caritas</x:v>
      </x:c>
      <x:c r="K88" s="29" t="str">
        <x:v>DHSSA / security-related role</x:v>
      </x:c>
      <x:c r="L88" s="29" t="str">
        <x:v>Humanitarian / NGO</x:v>
      </x:c>
      <x:c r="M88" s="29"/>
      <x:c r="N88" s="29"/>
      <x:c r="O88" s="29" t="str">
        <x:v>Self-identified</x:v>
      </x:c>
      <x:c r="P88" s="29" t="str">
        <x:v>Medium</x:v>
      </x:c>
      <x:c r="Q88" s="46" t="str">
        <x:v>No</x:v>
      </x:c>
      <x:c r="R88" s="29" t="str">
        <x:v>Connector / community multiplier</x:v>
      </x:c>
      <x:c r="S88" s="29" t="str">
        <x:v>Connector / community multiplier</x:v>
      </x:c>
      <x:c r="T88" s="29" t="str">
        <x:v>Identity stated; professional verification pending</x:v>
      </x:c>
      <x:c r="U88" s="29" t="str">
        <x:v>Medium</x:v>
      </x:c>
      <x:c r="V88" s="29" t="str">
        <x:v>Caritas network contact; title is unclear but sector relevance is good.</x:v>
      </x:c>
      <x:c r="W88" s="29" t="str">
        <x:v>Clarify exact function and procurement influence.</x:v>
      </x:c>
      <x:c r="X88" s="29" t="str">
        <x:v>Unassigned</x:v>
      </x:c>
      <x:c r="Y88" s="32" t="n">
        <x:v>46262</x:v>
      </x:c>
      <x:c r="Z88" s="29" t="str">
        <x:v>Not recorded — internal CRM only</x:v>
      </x:c>
      <x:c r="AA88" s="29" t="str">
        <x:v>Phone / closed-group source; human review required</x:v>
      </x:c>
      <x:c r="AB88" s="29" t="str">
        <x:v>Humanitarian / NGO; Humanitarian security and duty of care; Connector / community multiplier</x:v>
      </x:c>
      <x:c r="AC88" s="29" t="str">
        <x:v>Oscar, DHSSA Caritas</x:v>
      </x:c>
      <x:c r="AD88" s="29" t="str">
        <x:f>E88&amp;" | "&amp;J88&amp;" | "&amp;K88&amp;" | "&amp;F88</x:f>
        <x:v>Oscar Yatsyno | Caritas | DHSSA / security-related role | ‎+380637151840</x:v>
      </x:c>
      <x:c r="AE88" s="31" t="n">
        <x:f>(IF(OR(O88="Confirmed",O88="Confirmed — phone matched"),2,IF(OR(O88="Self-identified",O88="Probable"),1,0))+IF(J88&lt;&gt;"—",1,0)+IF(K88&lt;&gt;"—",1,0)+IF(L88&lt;&gt;"To classify",1,0)+IF(OR(M88&lt;&gt;"",N88&lt;&gt;""),1,0)+IF(H88&lt;&gt;"",1,0)+IF(AB88&lt;&gt;"",1,0)+IF(X88&lt;&gt;"Unassigned",1,0))/9</x:f>
        <x:v>0.5555555555555556</x:v>
      </x:c>
    </x:row>
    <x:row r="89">
      <x:c r="A89" s="45" t="n">
        <x:v>85</x:v>
      </x:c>
      <x:c r="B89" s="29" t="str">
        <x:v>WhatsApp</x:v>
      </x:c>
      <x:c r="C89" s="29" t="str">
        <x:v>ISRM Ukraine</x:v>
      </x:c>
      <x:c r="D89" s="29" t="str">
        <x:v>Yomi Kleinmann</x:v>
      </x:c>
      <x:c r="E89" s="29" t="str">
        <x:v>Yomi Kleinmann</x:v>
      </x:c>
      <x:c r="F89" s="29" t="str">
        <x:v>‎+19174394367</x:v>
      </x:c>
      <x:c r="G89" s="29" t="str">
        <x:v>United States / Canada</x:v>
      </x:c>
      <x:c r="H89" s="29"/>
      <x:c r="I89" s="29"/>
      <x:c r="J89" s="29" t="str">
        <x:v>Nonviolent Peaceforce Ukraine</x:v>
      </x:c>
      <x:c r="K89" s="29" t="str">
        <x:v>Head of Programmes</x:v>
      </x:c>
      <x:c r="L89" s="29" t="str">
        <x:v>To classify</x:v>
      </x:c>
      <x:c r="M89" s="29"/>
      <x:c r="N89" s="29" t="str">
        <x:v>https://nonviolentpeaceforce.org/nonviolent-peaceforce-rolls-out-frequency-analysers-in-ukraine-to-help-protect-civilians-from-attacks/</x:v>
      </x:c>
      <x:c r="O89" s="29" t="str">
        <x:v>Confirmed</x:v>
      </x:c>
      <x:c r="P89" s="29" t="str">
        <x:v>High</x:v>
      </x:c>
      <x:c r="Q89" s="46" t="str">
        <x:v>No</x:v>
      </x:c>
      <x:c r="R89" s="29" t="str">
        <x:v>Member / participant</x:v>
      </x:c>
      <x:c r="S89" s="29" t="str">
        <x:v>Potential client</x:v>
      </x:c>
      <x:c r="T89" s="29" t="str">
        <x:v>Verified profile</x:v>
      </x:c>
      <x:c r="U89" s="29" t="str">
        <x:v>High</x:v>
      </x:c>
      <x:c r="V89" s="29" t="str">
        <x:v>Senior programme leader in Ukraine humanitarian operations; broad legal and compliance needs.</x:v>
      </x:c>
      <x:c r="W89" s="29" t="str">
        <x:v>Warm outreach around NGO operations, grants, employment and duty of care.</x:v>
      </x:c>
      <x:c r="X89" s="29" t="str">
        <x:v>Unassigned</x:v>
      </x:c>
      <x:c r="Y89" s="32" t="n">
        <x:v>46262</x:v>
      </x:c>
      <x:c r="Z89" s="29" t="str">
        <x:v>Not recorded — internal CRM only</x:v>
      </x:c>
      <x:c r="AA89" s="29" t="str">
        <x:v>Phone / closed-group source; human review required</x:v>
      </x:c>
      <x:c r="AB89" s="29" t="str">
        <x:v>Potential client</x:v>
      </x:c>
      <x:c r="AC89" s="29" t="str">
        <x:v>Yomi Kleinmann | NP</x:v>
      </x:c>
      <x:c r="AD89" s="29" t="str">
        <x:f>E89&amp;" | "&amp;J89&amp;" | "&amp;K89&amp;" | "&amp;F89</x:f>
        <x:v>Yomi Kleinmann | Nonviolent Peaceforce Ukraine | Head of Programmes | ‎+19174394367</x:v>
      </x:c>
      <x:c r="AE89" s="31" t="n">
        <x:f>(IF(OR(O89="Confirmed",O89="Confirmed — phone matched"),2,IF(OR(O89="Self-identified",O89="Probable"),1,0))+IF(J89&lt;&gt;"—",1,0)+IF(K89&lt;&gt;"—",1,0)+IF(L89&lt;&gt;"To classify",1,0)+IF(OR(M89&lt;&gt;"",N89&lt;&gt;""),1,0)+IF(H89&lt;&gt;"",1,0)+IF(AB89&lt;&gt;"",1,0)+IF(X89&lt;&gt;"Unassigned",1,0))/9</x:f>
        <x:v>0.6666666666666666</x:v>
      </x:c>
    </x:row>
    <x:row r="90">
      <x:c r="A90" s="45" t="n">
        <x:v>86</x:v>
      </x:c>
      <x:c r="B90" s="29" t="str">
        <x:v>WhatsApp</x:v>
      </x:c>
      <x:c r="C90" s="29" t="str">
        <x:v>ISRM Ukraine</x:v>
      </x:c>
      <x:c r="D90" s="29" t="str">
        <x:v>Yuliya</x:v>
      </x:c>
      <x:c r="E90" s="29" t="str">
        <x:v>Yuliya (surname unknown)</x:v>
      </x:c>
      <x:c r="F90" s="29" t="str">
        <x:v>‎+380672384328</x:v>
      </x:c>
      <x:c r="G90" s="29" t="str">
        <x:v>Ukraine</x:v>
      </x:c>
      <x:c r="H90" s="29"/>
      <x:c r="I90" s="29"/>
      <x:c r="J90" s="29" t="str">
        <x:v>—</x:v>
      </x:c>
      <x:c r="K90" s="29" t="str">
        <x:v>—</x:v>
      </x:c>
      <x:c r="L90" s="29" t="str">
        <x:v>To classify</x:v>
      </x:c>
      <x:c r="M90" s="29"/>
      <x:c r="N90" s="29"/>
      <x:c r="O90" s="29" t="str">
        <x:v>Partial</x:v>
      </x:c>
      <x:c r="P90" s="29" t="str">
        <x:v>Low</x:v>
      </x:c>
      <x:c r="Q90" s="46" t="str">
        <x:v>No</x:v>
      </x:c>
      <x:c r="R90" s="29" t="str">
        <x:v>Member / participant</x:v>
      </x:c>
      <x:c r="S90" s="29" t="str">
        <x:v>Unqualified / research pending</x:v>
      </x:c>
      <x:c r="T90" s="29" t="str">
        <x:v>Identity completion pending</x:v>
      </x:c>
      <x:c r="U90" s="29" t="str">
        <x:v>Low</x:v>
      </x:c>
      <x:c r="V90" s="29" t="str">
        <x:v>No reliable commercial signal from the available data.</x:v>
      </x:c>
      <x:c r="W90" s="29" t="str">
        <x:v>Resolve identity and current role through a consensual group-admin or direct-message check before any outreach.</x:v>
      </x:c>
      <x:c r="X90" s="29" t="str">
        <x:v>Unassigned</x:v>
      </x:c>
      <x:c r="Y90" s="32" t="n">
        <x:v>46262</x:v>
      </x:c>
      <x:c r="Z90" s="29" t="str">
        <x:v>Not recorded — internal CRM only</x:v>
      </x:c>
      <x:c r="AA90" s="29" t="str">
        <x:v>Phone / closed-group source; human review required</x:v>
      </x:c>
      <x:c r="AB90" s="29" t="str">
        <x:v>Unqualified / research pending</x:v>
      </x:c>
      <x:c r="AC90" s="29" t="str"/>
      <x:c r="AD90" s="29" t="str">
        <x:f>E90&amp;" | "&amp;J90&amp;" | "&amp;K90&amp;" | "&amp;F90</x:f>
        <x:v>Yuliya (surname unknown) | — | — | ‎+380672384328</x:v>
      </x:c>
      <x:c r="AE90" s="31" t="n">
        <x:f>(IF(OR(O90="Confirmed",O90="Confirmed — phone matched"),2,IF(OR(O90="Self-identified",O90="Probable"),1,0))+IF(J90&lt;&gt;"—",1,0)+IF(K90&lt;&gt;"—",1,0)+IF(L90&lt;&gt;"To classify",1,0)+IF(OR(M90&lt;&gt;"",N90&lt;&gt;""),1,0)+IF(H90&lt;&gt;"",1,0)+IF(AB90&lt;&gt;"",1,0)+IF(X90&lt;&gt;"Unassigned",1,0))/9</x:f>
        <x:v>0.1111111111111111</x:v>
      </x:c>
    </x:row>
    <x:row r="91">
      <x:c r="A91" s="45" t="n">
        <x:v>87</x:v>
      </x:c>
      <x:c r="B91" s="29" t="str">
        <x:v>WhatsApp</x:v>
      </x:c>
      <x:c r="C91" s="29" t="str">
        <x:v>ISRM Ukraine</x:v>
      </x:c>
      <x:c r="D91" s="29" t="str">
        <x:v>Евгений</x:v>
      </x:c>
      <x:c r="E91" s="29" t="str">
        <x:v>Yevhenii (surname unknown)</x:v>
      </x:c>
      <x:c r="F91" s="29" t="str">
        <x:v>‎+380688689828</x:v>
      </x:c>
      <x:c r="G91" s="29" t="str">
        <x:v>Ukraine</x:v>
      </x:c>
      <x:c r="H91" s="29"/>
      <x:c r="I91" s="29"/>
      <x:c r="J91" s="29" t="str">
        <x:v>—</x:v>
      </x:c>
      <x:c r="K91" s="29" t="str">
        <x:v>—</x:v>
      </x:c>
      <x:c r="L91" s="29" t="str">
        <x:v>To classify</x:v>
      </x:c>
      <x:c r="M91" s="29"/>
      <x:c r="N91" s="29"/>
      <x:c r="O91" s="29" t="str">
        <x:v>Partial</x:v>
      </x:c>
      <x:c r="P91" s="29" t="str">
        <x:v>Low</x:v>
      </x:c>
      <x:c r="Q91" s="46" t="str">
        <x:v>No</x:v>
      </x:c>
      <x:c r="R91" s="29" t="str">
        <x:v>Member / participant</x:v>
      </x:c>
      <x:c r="S91" s="29" t="str">
        <x:v>Unqualified / research pending</x:v>
      </x:c>
      <x:c r="T91" s="29" t="str">
        <x:v>Identity completion pending</x:v>
      </x:c>
      <x:c r="U91" s="29" t="str">
        <x:v>Low</x:v>
      </x:c>
      <x:c r="V91" s="29" t="str">
        <x:v>No reliable commercial signal from the available data.</x:v>
      </x:c>
      <x:c r="W91" s="29" t="str">
        <x:v>Resolve identity and current role through a consensual group-admin or direct-message check before any outreach.</x:v>
      </x:c>
      <x:c r="X91" s="29" t="str">
        <x:v>Unassigned</x:v>
      </x:c>
      <x:c r="Y91" s="32" t="n">
        <x:v>46262</x:v>
      </x:c>
      <x:c r="Z91" s="29" t="str">
        <x:v>Not recorded — internal CRM only</x:v>
      </x:c>
      <x:c r="AA91" s="29" t="str">
        <x:v>Phone / closed-group source; human review required</x:v>
      </x:c>
      <x:c r="AB91" s="29" t="str">
        <x:v>Unqualified / research pending</x:v>
      </x:c>
      <x:c r="AC91" s="29" t="str"/>
      <x:c r="AD91" s="29" t="str">
        <x:f>E91&amp;" | "&amp;J91&amp;" | "&amp;K91&amp;" | "&amp;F91</x:f>
        <x:v>Yevhenii (surname unknown) | — | — | ‎+380688689828</x:v>
      </x:c>
      <x:c r="AE91" s="31" t="n">
        <x:f>(IF(OR(O91="Confirmed",O91="Confirmed — phone matched"),2,IF(OR(O91="Self-identified",O91="Probable"),1,0))+IF(J91&lt;&gt;"—",1,0)+IF(K91&lt;&gt;"—",1,0)+IF(L91&lt;&gt;"To classify",1,0)+IF(OR(M91&lt;&gt;"",N91&lt;&gt;""),1,0)+IF(H91&lt;&gt;"",1,0)+IF(AB91&lt;&gt;"",1,0)+IF(X91&lt;&gt;"Unassigned",1,0))/9</x:f>
        <x:v>0.1111111111111111</x:v>
      </x:c>
    </x:row>
    <x:row r="92">
      <x:c r="A92" s="45" t="n">
        <x:v>88</x:v>
      </x:c>
      <x:c r="B92" s="29" t="str">
        <x:v>WhatsApp</x:v>
      </x:c>
      <x:c r="C92" s="29" t="str">
        <x:v>ISRM Ukraine</x:v>
      </x:c>
      <x:c r="D92" s="29" t="str">
        <x:v>Игорь</x:v>
      </x:c>
      <x:c r="E92" s="29" t="str">
        <x:v>Igor (surname unknown)</x:v>
      </x:c>
      <x:c r="F92" s="29" t="str">
        <x:v>‎+380636060926</x:v>
      </x:c>
      <x:c r="G92" s="29" t="str">
        <x:v>Ukraine</x:v>
      </x:c>
      <x:c r="H92" s="29"/>
      <x:c r="I92" s="29"/>
      <x:c r="J92" s="29" t="str">
        <x:v>—</x:v>
      </x:c>
      <x:c r="K92" s="29" t="str">
        <x:v>—</x:v>
      </x:c>
      <x:c r="L92" s="29" t="str">
        <x:v>To classify</x:v>
      </x:c>
      <x:c r="M92" s="29"/>
      <x:c r="N92" s="29"/>
      <x:c r="O92" s="29" t="str">
        <x:v>Partial</x:v>
      </x:c>
      <x:c r="P92" s="29" t="str">
        <x:v>Low</x:v>
      </x:c>
      <x:c r="Q92" s="46" t="str">
        <x:v>No</x:v>
      </x:c>
      <x:c r="R92" s="29" t="str">
        <x:v>Member / participant</x:v>
      </x:c>
      <x:c r="S92" s="29" t="str">
        <x:v>Unqualified / research pending</x:v>
      </x:c>
      <x:c r="T92" s="29" t="str">
        <x:v>Identity completion pending</x:v>
      </x:c>
      <x:c r="U92" s="29" t="str">
        <x:v>Low</x:v>
      </x:c>
      <x:c r="V92" s="29" t="str">
        <x:v>No reliable commercial signal from the available data.</x:v>
      </x:c>
      <x:c r="W92" s="29" t="str">
        <x:v>Resolve identity and current role through a consensual group-admin or direct-message check before any outreach.</x:v>
      </x:c>
      <x:c r="X92" s="29" t="str">
        <x:v>Unassigned</x:v>
      </x:c>
      <x:c r="Y92" s="32" t="n">
        <x:v>46262</x:v>
      </x:c>
      <x:c r="Z92" s="29" t="str">
        <x:v>Not recorded — internal CRM only</x:v>
      </x:c>
      <x:c r="AA92" s="29" t="str">
        <x:v>Phone / closed-group source; human review required</x:v>
      </x:c>
      <x:c r="AB92" s="29" t="str">
        <x:v>Unqualified / research pending</x:v>
      </x:c>
      <x:c r="AC92" s="29" t="str"/>
      <x:c r="AD92" s="29" t="str">
        <x:f>E92&amp;" | "&amp;J92&amp;" | "&amp;K92&amp;" | "&amp;F92</x:f>
        <x:v>Igor (surname unknown) | — | — | ‎+380636060926</x:v>
      </x:c>
      <x:c r="AE92" s="31" t="n">
        <x:f>(IF(OR(O92="Confirmed",O92="Confirmed — phone matched"),2,IF(OR(O92="Self-identified",O92="Probable"),1,0))+IF(J92&lt;&gt;"—",1,0)+IF(K92&lt;&gt;"—",1,0)+IF(L92&lt;&gt;"To classify",1,0)+IF(OR(M92&lt;&gt;"",N92&lt;&gt;""),1,0)+IF(H92&lt;&gt;"",1,0)+IF(AB92&lt;&gt;"",1,0)+IF(X92&lt;&gt;"Unassigned",1,0))/9</x:f>
        <x:v>0.1111111111111111</x:v>
      </x:c>
    </x:row>
    <x:row r="93">
      <x:c r="A93" s="45" t="n">
        <x:v>89</x:v>
      </x:c>
      <x:c r="B93" s="29" t="str">
        <x:v>WhatsApp</x:v>
      </x:c>
      <x:c r="C93" s="29" t="str">
        <x:v>ISRM Ukraine</x:v>
      </x:c>
      <x:c r="D93" s="29" t="str">
        <x:v>Игорь</x:v>
      </x:c>
      <x:c r="E93" s="29" t="str">
        <x:v>Igor (surname unknown)</x:v>
      </x:c>
      <x:c r="F93" s="29" t="str">
        <x:v>‎+380976584143</x:v>
      </x:c>
      <x:c r="G93" s="29" t="str">
        <x:v>Ukraine</x:v>
      </x:c>
      <x:c r="H93" s="29"/>
      <x:c r="I93" s="29"/>
      <x:c r="J93" s="29" t="str">
        <x:v>NGO Misto Syly</x:v>
      </x:c>
      <x:c r="K93" s="29" t="str">
        <x:v>Project Manager</x:v>
      </x:c>
      <x:c r="L93" s="29" t="str">
        <x:v>Humanitarian / NGO</x:v>
      </x:c>
      <x:c r="M93" s="29"/>
      <x:c r="N93" s="29"/>
      <x:c r="O93" s="29" t="str">
        <x:v>Partial</x:v>
      </x:c>
      <x:c r="P93" s="29" t="str">
        <x:v>Medium</x:v>
      </x:c>
      <x:c r="Q93" s="46" t="str">
        <x:v>No</x:v>
      </x:c>
      <x:c r="R93" s="29" t="str">
        <x:v>Member / participant</x:v>
      </x:c>
      <x:c r="S93" s="29" t="str">
        <x:v>Member / verify</x:v>
      </x:c>
      <x:c r="T93" s="29" t="str">
        <x:v>Identity completion pending</x:v>
      </x:c>
      <x:c r="U93" s="29" t="str">
        <x:v>Medium</x:v>
      </x:c>
      <x:c r="V93" s="29" t="str">
        <x:v>Named NGO role, but surname and decision authority are unknown.</x:v>
      </x:c>
      <x:c r="W93" s="29" t="str">
        <x:v>Resolve surname and current project scope.</x:v>
      </x:c>
      <x:c r="X93" s="29" t="str">
        <x:v>Unassigned</x:v>
      </x:c>
      <x:c r="Y93" s="32" t="n">
        <x:v>46262</x:v>
      </x:c>
      <x:c r="Z93" s="29" t="str">
        <x:v>Not recorded — internal CRM only</x:v>
      </x:c>
      <x:c r="AA93" s="29" t="str">
        <x:v>Phone / closed-group source; human review required</x:v>
      </x:c>
      <x:c r="AB93" s="29" t="str">
        <x:v>Humanitarian / NGO; Humanitarian operations and protection; Member / verify</x:v>
      </x:c>
      <x:c r="AC93" s="29" t="str">
        <x:v>Project Manager NGO Misto Syly</x:v>
      </x:c>
      <x:c r="AD93" s="29" t="str">
        <x:f>E93&amp;" | "&amp;J93&amp;" | "&amp;K93&amp;" | "&amp;F93</x:f>
        <x:v>Igor (surname unknown) | NGO Misto Syly | Project Manager | ‎+380976584143</x:v>
      </x:c>
      <x:c r="AE93" s="31" t="n">
        <x:f>(IF(OR(O93="Confirmed",O93="Confirmed — phone matched"),2,IF(OR(O93="Self-identified",O93="Probable"),1,0))+IF(J93&lt;&gt;"—",1,0)+IF(K93&lt;&gt;"—",1,0)+IF(L93&lt;&gt;"To classify",1,0)+IF(OR(M93&lt;&gt;"",N93&lt;&gt;""),1,0)+IF(H93&lt;&gt;"",1,0)+IF(AB93&lt;&gt;"",1,0)+IF(X93&lt;&gt;"Unassigned",1,0))/9</x:f>
        <x:v>0.4444444444444444</x:v>
      </x:c>
    </x:row>
    <x:row r="94">
      <x:c r="A94" s="45" t="n">
        <x:v>90</x:v>
      </x:c>
      <x:c r="B94" s="29" t="str">
        <x:v>WhatsApp</x:v>
      </x:c>
      <x:c r="C94" s="29" t="str">
        <x:v>ISRM Ukraine</x:v>
      </x:c>
      <x:c r="D94" s="29" t="str">
        <x:v>Іра Хой</x:v>
      </x:c>
      <x:c r="E94" s="29" t="str">
        <x:v>Iryna “Khoi” Hoi</x:v>
      </x:c>
      <x:c r="F94" s="29" t="str">
        <x:v>‎+380939400507</x:v>
      </x:c>
      <x:c r="G94" s="29" t="str">
        <x:v>Ukraine</x:v>
      </x:c>
      <x:c r="H94" s="29"/>
      <x:c r="I94" s="29"/>
      <x:c r="J94" s="29" t="str">
        <x:v>Azov.Care / 12th Azov support unit / Pharmaxi</x:v>
      </x:c>
      <x:c r="K94" s="29" t="str">
        <x:v>Founder; Head of Medical Division; business-development leader</x:v>
      </x:c>
      <x:c r="L94" s="29" t="str">
        <x:v>Business / advisory</x:v>
      </x:c>
      <x:c r="M94" s="29"/>
      <x:c r="N94" s="29" t="str">
        <x:v>https://lvbs.com.ua/en/news-en/gerard-seijts-iryna-hoi-and-georg-von-nolcken-on-the-new-ethics-of-ukrainian-leadership/</x:v>
      </x:c>
      <x:c r="O94" s="29" t="str">
        <x:v>Confirmed</x:v>
      </x:c>
      <x:c r="P94" s="29" t="str">
        <x:v>High</x:v>
      </x:c>
      <x:c r="Q94" s="46" t="str">
        <x:v>No</x:v>
      </x:c>
      <x:c r="R94" s="29" t="str">
        <x:v>Member / participant</x:v>
      </x:c>
      <x:c r="S94" s="29" t="str">
        <x:v>Potential client</x:v>
      </x:c>
      <x:c r="T94" s="29" t="str">
        <x:v>Verified profile</x:v>
      </x:c>
      <x:c r="U94" s="29" t="str">
        <x:v>High</x:v>
      </x:c>
      <x:c r="V94" s="29" t="str">
        <x:v>Medical and nonprofit operations may require governance, contracting and compliance support.</x:v>
      </x:c>
      <x:c r="W94" s="29" t="str">
        <x:v>Approach carefully with a concrete nonprofit/medical legal-services proposition.</x:v>
      </x:c>
      <x:c r="X94" s="29" t="str">
        <x:v>Unassigned</x:v>
      </x:c>
      <x:c r="Y94" s="32" t="n">
        <x:v>46262</x:v>
      </x:c>
      <x:c r="Z94" s="29" t="str">
        <x:v>Not recorded — internal CRM only</x:v>
      </x:c>
      <x:c r="AA94" s="29" t="str">
        <x:v>Phone / closed-group source; human review required</x:v>
      </x:c>
      <x:c r="AB94" s="29" t="str">
        <x:v>Business / advisory; Leadership, advisory and business continuity; Potential client</x:v>
      </x:c>
      <x:c r="AC94" s="29" t="str"/>
      <x:c r="AD94" s="29" t="str">
        <x:f>E94&amp;" | "&amp;J94&amp;" | "&amp;K94&amp;" | "&amp;F94</x:f>
        <x:v>Iryna “Khoi” Hoi | Azov.Care / 12th Azov support unit / Pharmaxi | Founder; Head of Medical Division; business-development leader | ‎+380939400507</x:v>
      </x:c>
      <x:c r="AE94" s="31" t="n">
        <x:f>(IF(OR(O94="Confirmed",O94="Confirmed — phone matched"),2,IF(OR(O94="Self-identified",O94="Probable"),1,0))+IF(J94&lt;&gt;"—",1,0)+IF(K94&lt;&gt;"—",1,0)+IF(L94&lt;&gt;"To classify",1,0)+IF(OR(M94&lt;&gt;"",N94&lt;&gt;""),1,0)+IF(H94&lt;&gt;"",1,0)+IF(AB94&lt;&gt;"",1,0)+IF(X94&lt;&gt;"Unassigned",1,0))/9</x:f>
        <x:v>0.7777777777777778</x:v>
      </x:c>
    </x:row>
    <x:row r="95">
      <x:c r="A95" s="45" t="n">
        <x:v>91</x:v>
      </x:c>
      <x:c r="B95" s="29" t="str">
        <x:v>WhatsApp</x:v>
      </x:c>
      <x:c r="C95" s="29" t="str">
        <x:v>ISRM Ukraine</x:v>
      </x:c>
      <x:c r="D95" s="29" t="str">
        <x:v>Маx Hryshchenko</x:v>
      </x:c>
      <x:c r="E95" s="29" t="str">
        <x:v>Max Hryshchenko</x:v>
      </x:c>
      <x:c r="F95" s="29" t="str">
        <x:v>‎+380679412917</x:v>
      </x:c>
      <x:c r="G95" s="29" t="str">
        <x:v>Ukraine</x:v>
      </x:c>
      <x:c r="H95" s="29"/>
      <x:c r="I95" s="29"/>
      <x:c r="J95" s="29" t="str">
        <x:v>—</x:v>
      </x:c>
      <x:c r="K95" s="29" t="str">
        <x:v>—</x:v>
      </x:c>
      <x:c r="L95" s="29" t="str">
        <x:v>To classify</x:v>
      </x:c>
      <x:c r="M95" s="29"/>
      <x:c r="N95" s="29"/>
      <x:c r="O95" s="29" t="str">
        <x:v>Self-identified</x:v>
      </x:c>
      <x:c r="P95" s="29" t="str">
        <x:v>Medium</x:v>
      </x:c>
      <x:c r="Q95" s="46" t="str">
        <x:v>No</x:v>
      </x:c>
      <x:c r="R95" s="29" t="str">
        <x:v>Member / participant</x:v>
      </x:c>
      <x:c r="S95" s="29" t="str">
        <x:v>Member / verify</x:v>
      </x:c>
      <x:c r="T95" s="29" t="str">
        <x:v>Identity stated; professional verification pending</x:v>
      </x:c>
      <x:c r="U95" s="29" t="str">
        <x:v>Medium</x:v>
      </x:c>
      <x:c r="V95" s="29" t="str">
        <x:v>Full name but current role unverified.</x:v>
      </x:c>
      <x:c r="W95" s="29" t="str">
        <x:v>Confirm employer and decision-making role.</x:v>
      </x:c>
      <x:c r="X95" s="29" t="str">
        <x:v>Unassigned</x:v>
      </x:c>
      <x:c r="Y95" s="32" t="n">
        <x:v>46262</x:v>
      </x:c>
      <x:c r="Z95" s="29" t="str">
        <x:v>Not recorded — internal CRM only</x:v>
      </x:c>
      <x:c r="AA95" s="29" t="str">
        <x:v>Phone / closed-group source; human review required</x:v>
      </x:c>
      <x:c r="AB95" s="29" t="str">
        <x:v>Member / verify</x:v>
      </x:c>
      <x:c r="AC95" s="29" t="str"/>
      <x:c r="AD95" s="29" t="str">
        <x:f>E95&amp;" | "&amp;J95&amp;" | "&amp;K95&amp;" | "&amp;F95</x:f>
        <x:v>Max Hryshchenko | — | — | ‎+380679412917</x:v>
      </x:c>
      <x:c r="AE95" s="31" t="n">
        <x:f>(IF(OR(O95="Confirmed",O95="Confirmed — phone matched"),2,IF(OR(O95="Self-identified",O95="Probable"),1,0))+IF(J95&lt;&gt;"—",1,0)+IF(K95&lt;&gt;"—",1,0)+IF(L95&lt;&gt;"To classify",1,0)+IF(OR(M95&lt;&gt;"",N95&lt;&gt;""),1,0)+IF(H95&lt;&gt;"",1,0)+IF(AB95&lt;&gt;"",1,0)+IF(X95&lt;&gt;"Unassigned",1,0))/9</x:f>
        <x:v>0.2222222222222222</x:v>
      </x:c>
    </x:row>
    <x:row r="96">
      <x:c r="A96" s="45" t="n">
        <x:v>92</x:v>
      </x:c>
      <x:c r="B96" s="29" t="str">
        <x:v>WhatsApp</x:v>
      </x:c>
      <x:c r="C96" s="29" t="str">
        <x:v>ISRM Ukraine</x:v>
      </x:c>
      <x:c r="D96" s="29" t="str">
        <x:v>Марія</x:v>
      </x:c>
      <x:c r="E96" s="29" t="str">
        <x:v>Mariia (surname unknown)</x:v>
      </x:c>
      <x:c r="F96" s="29" t="str">
        <x:v>‎+380635969240</x:v>
      </x:c>
      <x:c r="G96" s="29" t="str">
        <x:v>Ukraine</x:v>
      </x:c>
      <x:c r="H96" s="29"/>
      <x:c r="I96" s="29"/>
      <x:c r="J96" s="29" t="str">
        <x:v>—</x:v>
      </x:c>
      <x:c r="K96" s="29" t="str">
        <x:v>—</x:v>
      </x:c>
      <x:c r="L96" s="29" t="str">
        <x:v>To classify</x:v>
      </x:c>
      <x:c r="M96" s="29"/>
      <x:c r="N96" s="29"/>
      <x:c r="O96" s="29" t="str">
        <x:v>Partial</x:v>
      </x:c>
      <x:c r="P96" s="29" t="str">
        <x:v>Low</x:v>
      </x:c>
      <x:c r="Q96" s="46" t="str">
        <x:v>No</x:v>
      </x:c>
      <x:c r="R96" s="29" t="str">
        <x:v>Member / participant</x:v>
      </x:c>
      <x:c r="S96" s="29" t="str">
        <x:v>Unqualified / research pending</x:v>
      </x:c>
      <x:c r="T96" s="29" t="str">
        <x:v>Identity completion pending</x:v>
      </x:c>
      <x:c r="U96" s="29" t="str">
        <x:v>Low</x:v>
      </x:c>
      <x:c r="V96" s="29" t="str">
        <x:v>No reliable commercial signal from the available data.</x:v>
      </x:c>
      <x:c r="W96" s="29" t="str">
        <x:v>Resolve identity and current role through a consensual group-admin or direct-message check before any outreach.</x:v>
      </x:c>
      <x:c r="X96" s="29" t="str">
        <x:v>Unassigned</x:v>
      </x:c>
      <x:c r="Y96" s="32" t="n">
        <x:v>46262</x:v>
      </x:c>
      <x:c r="Z96" s="29" t="str">
        <x:v>Not recorded — internal CRM only</x:v>
      </x:c>
      <x:c r="AA96" s="29" t="str">
        <x:v>Phone / closed-group source; human review required</x:v>
      </x:c>
      <x:c r="AB96" s="29" t="str">
        <x:v>Unqualified / research pending</x:v>
      </x:c>
      <x:c r="AC96" s="29" t="str"/>
      <x:c r="AD96" s="29" t="str">
        <x:f>E96&amp;" | "&amp;J96&amp;" | "&amp;K96&amp;" | "&amp;F96</x:f>
        <x:v>Mariia (surname unknown) | — | — | ‎+380635969240</x:v>
      </x:c>
      <x:c r="AE96" s="31" t="n">
        <x:f>(IF(OR(O96="Confirmed",O96="Confirmed — phone matched"),2,IF(OR(O96="Self-identified",O96="Probable"),1,0))+IF(J96&lt;&gt;"—",1,0)+IF(K96&lt;&gt;"—",1,0)+IF(L96&lt;&gt;"To classify",1,0)+IF(OR(M96&lt;&gt;"",N96&lt;&gt;""),1,0)+IF(H96&lt;&gt;"",1,0)+IF(AB96&lt;&gt;"",1,0)+IF(X96&lt;&gt;"Unassigned",1,0))/9</x:f>
        <x:v>0.1111111111111111</x:v>
      </x:c>
    </x:row>
    <x:row r="97">
      <x:c r="A97" s="45" t="n">
        <x:v>93</x:v>
      </x:c>
      <x:c r="B97" s="29" t="str">
        <x:v>WhatsApp</x:v>
      </x:c>
      <x:c r="C97" s="29" t="str">
        <x:v>ISRM Ukraine</x:v>
      </x:c>
      <x:c r="D97" s="29" t="str">
        <x:v>Марценюк Наталя</x:v>
      </x:c>
      <x:c r="E97" s="29" t="str">
        <x:v>Natalia Martseniuk</x:v>
      </x:c>
      <x:c r="F97" s="29" t="str">
        <x:v>‎+380686090416</x:v>
      </x:c>
      <x:c r="G97" s="29" t="str">
        <x:v>Ukraine</x:v>
      </x:c>
      <x:c r="H97" s="29"/>
      <x:c r="I97" s="29"/>
      <x:c r="J97" s="29" t="str">
        <x:v>NULES (probable)</x:v>
      </x:c>
      <x:c r="K97" s="29" t="str">
        <x:v>Aquaculture academic (probable)</x:v>
      </x:c>
      <x:c r="L97" s="29" t="str">
        <x:v>Academia / research</x:v>
      </x:c>
      <x:c r="M97" s="29"/>
      <x:c r="N97" s="29"/>
      <x:c r="O97" s="29" t="str">
        <x:v>Probable</x:v>
      </x:c>
      <x:c r="P97" s="29" t="str">
        <x:v>Medium</x:v>
      </x:c>
      <x:c r="Q97" s="46" t="str">
        <x:v>No</x:v>
      </x:c>
      <x:c r="R97" s="29" t="str">
        <x:v>Member / participant</x:v>
      </x:c>
      <x:c r="S97" s="29" t="str">
        <x:v>Member / verify</x:v>
      </x:c>
      <x:c r="T97" s="29" t="str">
        <x:v>Match verification pending</x:v>
      </x:c>
      <x:c r="U97" s="29" t="str">
        <x:v>Medium</x:v>
      </x:c>
      <x:c r="V97" s="29" t="str">
        <x:v>Possible academic match; phone-to-profile link not independently established.</x:v>
      </x:c>
      <x:c r="W97" s="29" t="str">
        <x:v>Confirm affiliation; otherwise keep as unqualified network contact.</x:v>
      </x:c>
      <x:c r="X97" s="29" t="str">
        <x:v>Unassigned</x:v>
      </x:c>
      <x:c r="Y97" s="32" t="n">
        <x:v>46262</x:v>
      </x:c>
      <x:c r="Z97" s="29" t="str">
        <x:v>Not recorded — internal CRM only</x:v>
      </x:c>
      <x:c r="AA97" s="29" t="str">
        <x:v>Phone / closed-group source; human review required</x:v>
      </x:c>
      <x:c r="AB97" s="29" t="str">
        <x:v>Academia / research; Research, education and knowledge transfer; Member / verify</x:v>
      </x:c>
      <x:c r="AC97" s="29" t="str">
        <x:v>Natalia Martseniuk</x:v>
      </x:c>
      <x:c r="AD97" s="29" t="str">
        <x:f>E97&amp;" | "&amp;J97&amp;" | "&amp;K97&amp;" | "&amp;F97</x:f>
        <x:v>Natalia Martseniuk | NULES (probable) | Aquaculture academic (probable) | ‎+380686090416</x:v>
      </x:c>
      <x:c r="AE97" s="31" t="n">
        <x:f>(IF(OR(O97="Confirmed",O97="Confirmed — phone matched"),2,IF(OR(O97="Self-identified",O97="Probable"),1,0))+IF(J97&lt;&gt;"—",1,0)+IF(K97&lt;&gt;"—",1,0)+IF(L97&lt;&gt;"To classify",1,0)+IF(OR(M97&lt;&gt;"",N97&lt;&gt;""),1,0)+IF(H97&lt;&gt;"",1,0)+IF(AB97&lt;&gt;"",1,0)+IF(X97&lt;&gt;"Unassigned",1,0))/9</x:f>
        <x:v>0.5555555555555556</x:v>
      </x:c>
    </x:row>
    <x:row r="98">
      <x:c r="A98" s="45" t="n">
        <x:v>94</x:v>
      </x:c>
      <x:c r="B98" s="29" t="str">
        <x:v>WhatsApp</x:v>
      </x:c>
      <x:c r="C98" s="29" t="str">
        <x:v>ISRM Ukraine</x:v>
      </x:c>
      <x:c r="D98" s="29" t="str">
        <x:v>Оleksandr Ionin</x:v>
      </x:c>
      <x:c r="E98" s="29" t="str">
        <x:v>Oleksandr Ionin</x:v>
      </x:c>
      <x:c r="F98" s="29" t="str">
        <x:v>‎+380968174923</x:v>
      </x:c>
      <x:c r="G98" s="29" t="str">
        <x:v>Ukraine</x:v>
      </x:c>
      <x:c r="H98" s="29"/>
      <x:c r="I98" s="29"/>
      <x:c r="J98" s="29" t="str">
        <x:v>Riley Risk</x:v>
      </x:c>
      <x:c r="K98" s="29" t="str">
        <x:v>Country Security Adviser</x:v>
      </x:c>
      <x:c r="L98" s="29" t="str">
        <x:v>Security / risk / resilience</x:v>
      </x:c>
      <x:c r="M98" s="29" t="str">
        <x:v>https://ua.linkedin.com/in/oleksandr-ionin-225aa61b4</x:v>
      </x:c>
      <x:c r="N98" s="29"/>
      <x:c r="O98" s="29" t="str">
        <x:v>Confirmed</x:v>
      </x:c>
      <x:c r="P98" s="29" t="str">
        <x:v>High</x:v>
      </x:c>
      <x:c r="Q98" s="46" t="str">
        <x:v>No</x:v>
      </x:c>
      <x:c r="R98" s="29" t="str">
        <x:v>Institutional partner candidate</x:v>
      </x:c>
      <x:c r="S98" s="29" t="str">
        <x:v>Potential partner / referral</x:v>
      </x:c>
      <x:c r="T98" s="29" t="str">
        <x:v>Verified profile</x:v>
      </x:c>
      <x:c r="U98" s="29" t="str">
        <x:v>High</x:v>
      </x:c>
      <x:c r="V98" s="29" t="str">
        <x:v>Country risk adviser with direct referral and joint-delivery potential.</x:v>
      </x:c>
      <x:c r="W98" s="29" t="str">
        <x:v>Offer legal-risk support for Ukraine client mandates and reciprocal referrals.</x:v>
      </x:c>
      <x:c r="X98" s="29" t="str">
        <x:v>Unassigned</x:v>
      </x:c>
      <x:c r="Y98" s="32" t="n">
        <x:v>46262</x:v>
      </x:c>
      <x:c r="Z98" s="29" t="str">
        <x:v>Not recorded — internal CRM only</x:v>
      </x:c>
      <x:c r="AA98" s="29" t="str">
        <x:v>Phone / closed-group source; human review required</x:v>
      </x:c>
      <x:c r="AB98" s="29" t="str">
        <x:v>Security / risk / resilience; Security, strategic risk and crisis management; Potential partner / referral</x:v>
      </x:c>
      <x:c r="AC98" s="29" t="str"/>
      <x:c r="AD98" s="29" t="str">
        <x:f>E98&amp;" | "&amp;J98&amp;" | "&amp;K98&amp;" | "&amp;F98</x:f>
        <x:v>Oleksandr Ionin | Riley Risk | Country Security Adviser | ‎+380968174923</x:v>
      </x:c>
      <x:c r="AE98" s="31" t="n">
        <x:f>(IF(OR(O98="Confirmed",O98="Confirmed — phone matched"),2,IF(OR(O98="Self-identified",O98="Probable"),1,0))+IF(J98&lt;&gt;"—",1,0)+IF(K98&lt;&gt;"—",1,0)+IF(L98&lt;&gt;"To classify",1,0)+IF(OR(M98&lt;&gt;"",N98&lt;&gt;""),1,0)+IF(H98&lt;&gt;"",1,0)+IF(AB98&lt;&gt;"",1,0)+IF(X98&lt;&gt;"Unassigned",1,0))/9</x:f>
        <x:v>0.7777777777777778</x:v>
      </x:c>
    </x:row>
    <x:row r="99">
      <x:c r="A99" s="45" t="n">
        <x:v>95</x:v>
      </x:c>
      <x:c r="B99" s="29" t="str">
        <x:v>WhatsApp</x:v>
      </x:c>
      <x:c r="C99" s="29" t="str">
        <x:v>ISRM Ukraine</x:v>
      </x:c>
      <x:c r="D99" s="29" t="str">
        <x:v>Оксана Давиденко</x:v>
      </x:c>
      <x:c r="E99" s="29" t="str">
        <x:v>Oksana Davydenko</x:v>
      </x:c>
      <x:c r="F99" s="29" t="str">
        <x:v>‎+380682194223</x:v>
      </x:c>
      <x:c r="G99" s="29" t="str">
        <x:v>Ukraine</x:v>
      </x:c>
      <x:c r="H99" s="29"/>
      <x:c r="I99" s="29"/>
      <x:c r="J99" s="29" t="str">
        <x:v>Starlight Media</x:v>
      </x:c>
      <x:c r="K99" s="29" t="str">
        <x:v>Deputy Director for Legal Affairs (public match)</x:v>
      </x:c>
      <x:c r="L99" s="29" t="str">
        <x:v>Legal / governance / institutions</x:v>
      </x:c>
      <x:c r="M99" s="29"/>
      <x:c r="N99" s="29" t="str">
        <x:v>https://webportal.nrada.gov.ua/dvi-publichni-osoby-rf-stvoryuyut-zagrozu-natsbezpetsi-ukrayiny-zatverdzheno-sklad-kolegiyi-ekspertiv-rezultaty-zasidannya-vid-23-lypnya/</x:v>
      </x:c>
      <x:c r="O99" s="29" t="str">
        <x:v>Probable</x:v>
      </x:c>
      <x:c r="P99" s="29" t="str">
        <x:v>Medium</x:v>
      </x:c>
      <x:c r="Q99" s="46" t="str">
        <x:v>No</x:v>
      </x:c>
      <x:c r="R99" s="29" t="str">
        <x:v>Member / participant</x:v>
      </x:c>
      <x:c r="S99" s="29" t="str">
        <x:v>Potential client</x:v>
      </x:c>
      <x:c r="T99" s="29" t="str">
        <x:v>Match verification pending</x:v>
      </x:c>
      <x:c r="U99" s="29" t="str">
        <x:v>High</x:v>
      </x:c>
      <x:c r="V99" s="29" t="str">
        <x:v>Senior in-house legal profile; media/regulatory and corporate needs align with F&amp;P.</x:v>
      </x:c>
      <x:c r="W99" s="29" t="str">
        <x:v>Verify identity before a discreet partner-level introduction.</x:v>
      </x:c>
      <x:c r="X99" s="29" t="str">
        <x:v>Unassigned</x:v>
      </x:c>
      <x:c r="Y99" s="32" t="n">
        <x:v>46262</x:v>
      </x:c>
      <x:c r="Z99" s="29" t="str">
        <x:v>Not recorded — internal CRM only</x:v>
      </x:c>
      <x:c r="AA99" s="29" t="str">
        <x:v>Phone / closed-group source; human review required</x:v>
      </x:c>
      <x:c r="AB99" s="29" t="str">
        <x:v>Legal / governance / institutions; Governance, legal risk and institutional resilience; Potential client</x:v>
      </x:c>
      <x:c r="AC99" s="29" t="str"/>
      <x:c r="AD99" s="29" t="str">
        <x:f>E99&amp;" | "&amp;J99&amp;" | "&amp;K99&amp;" | "&amp;F99</x:f>
        <x:v>Oksana Davydenko | Starlight Media | Deputy Director for Legal Affairs (public match) | ‎+380682194223</x:v>
      </x:c>
      <x:c r="AE99" s="31" t="n">
        <x:f>(IF(OR(O99="Confirmed",O99="Confirmed — phone matched"),2,IF(OR(O99="Self-identified",O99="Probable"),1,0))+IF(J99&lt;&gt;"—",1,0)+IF(K99&lt;&gt;"—",1,0)+IF(L99&lt;&gt;"To classify",1,0)+IF(OR(M99&lt;&gt;"",N99&lt;&gt;""),1,0)+IF(H99&lt;&gt;"",1,0)+IF(AB99&lt;&gt;"",1,0)+IF(X99&lt;&gt;"Unassigned",1,0))/9</x:f>
        <x:v>0.6666666666666666</x:v>
      </x:c>
    </x:row>
    <x:row r="100">
      <x:c r="A100" s="45" t="n">
        <x:v>96</x:v>
      </x:c>
      <x:c r="B100" s="29" t="str">
        <x:v>WhatsApp</x:v>
      </x:c>
      <x:c r="C100" s="29" t="str">
        <x:v>ISRM Ukraine</x:v>
      </x:c>
      <x:c r="D100" s="29" t="str">
        <x:v>Олег Засадний</x:v>
      </x:c>
      <x:c r="E100" s="29" t="str">
        <x:v>Oleh Zasadnyi</x:v>
      </x:c>
      <x:c r="F100" s="29" t="str">
        <x:v>‎+380673412300</x:v>
      </x:c>
      <x:c r="G100" s="29" t="str">
        <x:v>Ukraine</x:v>
      </x:c>
      <x:c r="H100" s="29"/>
      <x:c r="I100" s="29"/>
      <x:c r="J100" s="29" t="str">
        <x:v>Public / project management sector</x:v>
      </x:c>
      <x:c r="K100" s="29" t="str">
        <x:v>Former Lviv Euro-2012 department director (public match)</x:v>
      </x:c>
      <x:c r="L100" s="29" t="str">
        <x:v>Business / advisory</x:v>
      </x:c>
      <x:c r="M100" s="29"/>
      <x:c r="N100" s="29" t="str">
        <x:v>https://portal.lviv.ua/exclusive/2010/04/26/165724</x:v>
      </x:c>
      <x:c r="O100" s="29" t="str">
        <x:v>Probable</x:v>
      </x:c>
      <x:c r="P100" s="29" t="str">
        <x:v>Medium</x:v>
      </x:c>
      <x:c r="Q100" s="46" t="str">
        <x:v>No</x:v>
      </x:c>
      <x:c r="R100" s="29" t="str">
        <x:v>Connector / community multiplier</x:v>
      </x:c>
      <x:c r="S100" s="29" t="str">
        <x:v>Connector / community multiplier</x:v>
      </x:c>
      <x:c r="T100" s="29" t="str">
        <x:v>Match verification pending</x:v>
      </x:c>
      <x:c r="U100" s="29" t="str">
        <x:v>Medium</x:v>
      </x:c>
      <x:c r="V100" s="29" t="str">
        <x:v>Experienced public-project manager; possible reconstruction network access.</x:v>
      </x:c>
      <x:c r="W100" s="29" t="str">
        <x:v>Verify current role before engagement.</x:v>
      </x:c>
      <x:c r="X100" s="29" t="str">
        <x:v>Unassigned</x:v>
      </x:c>
      <x:c r="Y100" s="32" t="n">
        <x:v>46262</x:v>
      </x:c>
      <x:c r="Z100" s="29" t="str">
        <x:v>Not recorded — internal CRM only</x:v>
      </x:c>
      <x:c r="AA100" s="29" t="str">
        <x:v>Phone / closed-group source; human review required</x:v>
      </x:c>
      <x:c r="AB100" s="29" t="str">
        <x:v>Business / advisory; Leadership, advisory and business continuity; Connector / community multiplier</x:v>
      </x:c>
      <x:c r="AC100" s="29" t="str"/>
      <x:c r="AD100" s="29" t="str">
        <x:f>E100&amp;" | "&amp;J100&amp;" | "&amp;K100&amp;" | "&amp;F100</x:f>
        <x:v>Oleh Zasadnyi | Public / project management sector | Former Lviv Euro-2012 department director (public match) | ‎+380673412300</x:v>
      </x:c>
      <x:c r="AE100" s="31" t="n">
        <x:f>(IF(OR(O100="Confirmed",O100="Confirmed — phone matched"),2,IF(OR(O100="Self-identified",O100="Probable"),1,0))+IF(J100&lt;&gt;"—",1,0)+IF(K100&lt;&gt;"—",1,0)+IF(L100&lt;&gt;"To classify",1,0)+IF(OR(M100&lt;&gt;"",N100&lt;&gt;""),1,0)+IF(H100&lt;&gt;"",1,0)+IF(AB100&lt;&gt;"",1,0)+IF(X100&lt;&gt;"Unassigned",1,0))/9</x:f>
        <x:v>0.6666666666666666</x:v>
      </x:c>
    </x:row>
    <x:row r="101">
      <x:c r="A101" s="45" t="n">
        <x:v>97</x:v>
      </x:c>
      <x:c r="B101" s="29" t="str">
        <x:v>WhatsApp</x:v>
      </x:c>
      <x:c r="C101" s="29" t="str">
        <x:v>ISRM Ukraine</x:v>
      </x:c>
      <x:c r="D101" s="29" t="str">
        <x:v>Сергій Грабський</x:v>
      </x:c>
      <x:c r="E101" s="29" t="str">
        <x:v>Serhii Hrabskyi</x:v>
      </x:c>
      <x:c r="F101" s="29" t="str">
        <x:v>‎+380676746966</x:v>
      </x:c>
      <x:c r="G101" s="29" t="str">
        <x:v>Ukraine</x:v>
      </x:c>
      <x:c r="H101" s="29"/>
      <x:c r="I101" s="29"/>
      <x:c r="J101" s="29" t="str">
        <x:v>Independent / media</x:v>
      </x:c>
      <x:c r="K101" s="29" t="str">
        <x:v>Reserve Colonel and military-security commentator</x:v>
      </x:c>
      <x:c r="L101" s="29" t="str">
        <x:v>Media / communications</x:v>
      </x:c>
      <x:c r="M101" s="29"/>
      <x:c r="N101" s="29" t="str">
        <x:v>https://newsukraine.rbc.ua/expert</x:v>
      </x:c>
      <x:c r="O101" s="29" t="str">
        <x:v>Confirmed</x:v>
      </x:c>
      <x:c r="P101" s="29" t="str">
        <x:v>High</x:v>
      </x:c>
      <x:c r="Q101" s="46" t="str">
        <x:v>No</x:v>
      </x:c>
      <x:c r="R101" s="29" t="str">
        <x:v>Connector / community multiplier</x:v>
      </x:c>
      <x:c r="S101" s="29" t="str">
        <x:v>Connector / community multiplier</x:v>
      </x:c>
      <x:c r="T101" s="29" t="str">
        <x:v>Verified profile</x:v>
      </x:c>
      <x:c r="U101" s="29" t="str">
        <x:v>Medium</x:v>
      </x:c>
      <x:c r="V101" s="29" t="str">
        <x:v>High-profile security expert with strong media and defense network.</x:v>
      </x:c>
      <x:c r="W101" s="29" t="str">
        <x:v>Engage as expert/connector around defense, investigations and crisis risk.</x:v>
      </x:c>
      <x:c r="X101" s="29" t="str">
        <x:v>Unassigned</x:v>
      </x:c>
      <x:c r="Y101" s="32" t="n">
        <x:v>46262</x:v>
      </x:c>
      <x:c r="Z101" s="29" t="str">
        <x:v>Not recorded — internal CRM only</x:v>
      </x:c>
      <x:c r="AA101" s="29" t="str">
        <x:v>Phone / closed-group source; human review required</x:v>
      </x:c>
      <x:c r="AB101" s="29" t="str">
        <x:v>Media / communications; Crisis communications and information environment; Connector / community multiplier</x:v>
      </x:c>
      <x:c r="AC101" s="29" t="str"/>
      <x:c r="AD101" s="29" t="str">
        <x:f>E101&amp;" | "&amp;J101&amp;" | "&amp;K101&amp;" | "&amp;F101</x:f>
        <x:v>Serhii Hrabskyi | Independent / media | Reserve Colonel and military-security commentator | ‎+380676746966</x:v>
      </x:c>
      <x:c r="AE101" s="31" t="n">
        <x:f>(IF(OR(O101="Confirmed",O101="Confirmed — phone matched"),2,IF(OR(O101="Self-identified",O101="Probable"),1,0))+IF(J101&lt;&gt;"—",1,0)+IF(K101&lt;&gt;"—",1,0)+IF(L101&lt;&gt;"To classify",1,0)+IF(OR(M101&lt;&gt;"",N101&lt;&gt;""),1,0)+IF(H101&lt;&gt;"",1,0)+IF(AB101&lt;&gt;"",1,0)+IF(X101&lt;&gt;"Unassigned",1,0))/9</x:f>
        <x:v>0.7777777777777778</x:v>
      </x:c>
    </x:row>
    <x:row r="102">
      <x:c r="A102" s="45" t="n">
        <x:v>98</x:v>
      </x:c>
      <x:c r="B102" s="29" t="str">
        <x:v>WhatsApp</x:v>
      </x:c>
      <x:c r="C102" s="29" t="str">
        <x:v>ISRM Ukraine</x:v>
      </x:c>
      <x:c r="D102" s="29" t="str">
        <x:v>Сергій Губяк</x:v>
      </x:c>
      <x:c r="E102" s="29" t="str">
        <x:v>Serhii Hubiak</x:v>
      </x:c>
      <x:c r="F102" s="29" t="str">
        <x:v>‎+380677906442</x:v>
      </x:c>
      <x:c r="G102" s="29" t="str">
        <x:v>Ukraine</x:v>
      </x:c>
      <x:c r="H102" s="29"/>
      <x:c r="I102" s="29"/>
      <x:c r="J102" s="29" t="str">
        <x:v>Osprey Global Solutions Ukraine</x:v>
      </x:c>
      <x:c r="K102" s="29" t="str">
        <x:v>Chairman and co-founder</x:v>
      </x:c>
      <x:c r="L102" s="29" t="str">
        <x:v>To classify</x:v>
      </x:c>
      <x:c r="M102" s="29"/>
      <x:c r="N102" s="29" t="str">
        <x:v>https://ogs-ua.fund/</x:v>
      </x:c>
      <x:c r="O102" s="29" t="str">
        <x:v>Confirmed — phone matched</x:v>
      </x:c>
      <x:c r="P102" s="29" t="str">
        <x:v>High</x:v>
      </x:c>
      <x:c r="Q102" s="46" t="str">
        <x:v>No</x:v>
      </x:c>
      <x:c r="R102" s="29" t="str">
        <x:v>Member / participant</x:v>
      </x:c>
      <x:c r="S102" s="29" t="str">
        <x:v>Potential client</x:v>
      </x:c>
      <x:c r="T102" s="29" t="str">
        <x:v>Verified profile</x:v>
      </x:c>
      <x:c r="U102" s="29" t="str">
        <x:v>High</x:v>
      </x:c>
      <x:c r="V102" s="29" t="str">
        <x:v>Exact public phone match and senior Ukraine security-business role; very strong fit.</x:v>
      </x:c>
      <x:c r="W102" s="29" t="str">
        <x:v>Priority senior outreach on legal support, projects and referrals.</x:v>
      </x:c>
      <x:c r="X102" s="29" t="str">
        <x:v>Unassigned</x:v>
      </x:c>
      <x:c r="Y102" s="32" t="n">
        <x:v>46262</x:v>
      </x:c>
      <x:c r="Z102" s="29" t="str">
        <x:v>Not recorded — internal CRM only</x:v>
      </x:c>
      <x:c r="AA102" s="29" t="str">
        <x:v>Phone / closed-group source; human review required</x:v>
      </x:c>
      <x:c r="AB102" s="29" t="str">
        <x:v>Potential client</x:v>
      </x:c>
      <x:c r="AC102" s="29" t="str"/>
      <x:c r="AD102" s="29" t="str">
        <x:f>E102&amp;" | "&amp;J102&amp;" | "&amp;K102&amp;" | "&amp;F102</x:f>
        <x:v>Serhii Hubiak | Osprey Global Solutions Ukraine | Chairman and co-founder | ‎+380677906442</x:v>
      </x:c>
      <x:c r="AE102" s="31" t="n">
        <x:f>(IF(OR(O102="Confirmed",O102="Confirmed — phone matched"),2,IF(OR(O102="Self-identified",O102="Probable"),1,0))+IF(J102&lt;&gt;"—",1,0)+IF(K102&lt;&gt;"—",1,0)+IF(L102&lt;&gt;"To classify",1,0)+IF(OR(M102&lt;&gt;"",N102&lt;&gt;""),1,0)+IF(H102&lt;&gt;"",1,0)+IF(AB102&lt;&gt;"",1,0)+IF(X102&lt;&gt;"Unassigned",1,0))/9</x:f>
        <x:v>0.6666666666666666</x:v>
      </x:c>
    </x:row>
    <x:row r="103">
      <x:c r="A103" s="45" t="n">
        <x:v>99</x:v>
      </x:c>
      <x:c r="B103" s="29" t="str">
        <x:v>WhatsApp</x:v>
      </x:c>
      <x:c r="C103" s="29" t="str">
        <x:v>ISRM Ukraine</x:v>
      </x:c>
      <x:c r="D103" s="29" t="str">
        <x:v>Юрій</x:v>
      </x:c>
      <x:c r="E103" s="29" t="str">
        <x:v>Yurii (surname unknown)</x:v>
      </x:c>
      <x:c r="F103" s="29" t="str">
        <x:v>‎+380503578959</x:v>
      </x:c>
      <x:c r="G103" s="29" t="str">
        <x:v>Ukraine</x:v>
      </x:c>
      <x:c r="H103" s="29"/>
      <x:c r="I103" s="29"/>
      <x:c r="J103" s="29" t="str">
        <x:v>GCS Ukraine</x:v>
      </x:c>
      <x:c r="K103" s="29" t="str">
        <x:v>Security Manager</x:v>
      </x:c>
      <x:c r="L103" s="29" t="str">
        <x:v>Security / risk / resilience</x:v>
      </x:c>
      <x:c r="M103" s="29"/>
      <x:c r="N103" s="29"/>
      <x:c r="O103" s="29" t="str">
        <x:v>Partial</x:v>
      </x:c>
      <x:c r="P103" s="29" t="str">
        <x:v>Medium-high</x:v>
      </x:c>
      <x:c r="Q103" s="46" t="str">
        <x:v>No</x:v>
      </x:c>
      <x:c r="R103" s="29" t="str">
        <x:v>Member / participant</x:v>
      </x:c>
      <x:c r="S103" s="29" t="str">
        <x:v>Potential client</x:v>
      </x:c>
      <x:c r="T103" s="29" t="str">
        <x:v>Identity completion pending</x:v>
      </x:c>
      <x:c r="U103" s="29" t="str">
        <x:v>High</x:v>
      </x:c>
      <x:c r="V103" s="29" t="str">
        <x:v>Corporate security manager; direct buyer signal but identity incomplete.</x:v>
      </x:c>
      <x:c r="W103" s="29" t="str">
        <x:v>Resolve surname, then propose investigations/compliance and incident support.</x:v>
      </x:c>
      <x:c r="X103" s="29" t="str">
        <x:v>Unassigned</x:v>
      </x:c>
      <x:c r="Y103" s="32" t="n">
        <x:v>46262</x:v>
      </x:c>
      <x:c r="Z103" s="29" t="str">
        <x:v>Not recorded — internal CRM only</x:v>
      </x:c>
      <x:c r="AA103" s="29" t="str">
        <x:v>Phone / closed-group source; human review required</x:v>
      </x:c>
      <x:c r="AB103" s="29" t="str">
        <x:v>Security / risk / resilience; Security, strategic risk and crisis management; Potential client</x:v>
      </x:c>
      <x:c r="AC103" s="29" t="str">
        <x:v>GCS Ukraine Security Manager</x:v>
      </x:c>
      <x:c r="AD103" s="29" t="str">
        <x:f>E103&amp;" | "&amp;J103&amp;" | "&amp;K103&amp;" | "&amp;F103</x:f>
        <x:v>Yurii (surname unknown) | GCS Ukraine | Security Manager | ‎+380503578959</x:v>
      </x:c>
      <x:c r="AE103" s="31" t="n">
        <x:f>(IF(OR(O103="Confirmed",O103="Confirmed — phone matched"),2,IF(OR(O103="Self-identified",O103="Probable"),1,0))+IF(J103&lt;&gt;"—",1,0)+IF(K103&lt;&gt;"—",1,0)+IF(L103&lt;&gt;"To classify",1,0)+IF(OR(M103&lt;&gt;"",N103&lt;&gt;""),1,0)+IF(H103&lt;&gt;"",1,0)+IF(AB103&lt;&gt;"",1,0)+IF(X103&lt;&gt;"Unassigned",1,0))/9</x:f>
        <x:v>0.4444444444444444</x:v>
      </x:c>
    </x:row>
    <x:row r="104">
      <x:c r="A104" s="45" t="n">
        <x:v>100</x:v>
      </x:c>
      <x:c r="B104" s="29" t="str">
        <x:v>WhatsApp</x:v>
      </x:c>
      <x:c r="C104" s="29" t="str">
        <x:v>ISRM Ukraine</x:v>
      </x:c>
      <x:c r="D104" s="29" t="str">
        <x:v>+380 66 000 9314</x:v>
      </x:c>
      <x:c r="E104" s="29" t="str">
        <x:v>Unidentified number</x:v>
      </x:c>
      <x:c r="F104" s="29" t="str">
        <x:v>‎+380660009314</x:v>
      </x:c>
      <x:c r="G104" s="29" t="str">
        <x:v>Ukraine</x:v>
      </x:c>
      <x:c r="H104" s="29"/>
      <x:c r="I104" s="29"/>
      <x:c r="J104" s="29" t="str">
        <x:v>—</x:v>
      </x:c>
      <x:c r="K104" s="29" t="str">
        <x:v>—</x:v>
      </x:c>
      <x:c r="L104" s="29" t="str">
        <x:v>To classify</x:v>
      </x:c>
      <x:c r="M104" s="29"/>
      <x:c r="N104" s="29"/>
      <x:c r="O104" s="29" t="str">
        <x:v>Unidentified</x:v>
      </x:c>
      <x:c r="P104" s="29" t="str">
        <x:v>None</x:v>
      </x:c>
      <x:c r="Q104" s="46" t="str">
        <x:v>No</x:v>
      </x:c>
      <x:c r="R104" s="29" t="str">
        <x:v>Member / participant</x:v>
      </x:c>
      <x:c r="S104" s="29" t="str">
        <x:v>Unqualified / research pending</x:v>
      </x:c>
      <x:c r="T104" s="29" t="str">
        <x:v>Identification pending</x:v>
      </x:c>
      <x:c r="U104" s="29" t="str">
        <x:v>Low</x:v>
      </x:c>
      <x:c r="V104" s="29" t="str">
        <x:v>No reliable commercial signal from the available data.</x:v>
      </x:c>
      <x:c r="W104" s="29" t="str">
        <x:v>Resolve identity and current role through a consensual group-admin or direct-message check before any outreach.</x:v>
      </x:c>
      <x:c r="X104" s="29" t="str">
        <x:v>Unassigned</x:v>
      </x:c>
      <x:c r="Y104" s="32" t="n">
        <x:v>46262</x:v>
      </x:c>
      <x:c r="Z104" s="29" t="str">
        <x:v>Not recorded — internal CRM only</x:v>
      </x:c>
      <x:c r="AA104" s="29" t="str">
        <x:v>Phone / closed-group source; human review required</x:v>
      </x:c>
      <x:c r="AB104" s="29" t="str">
        <x:v>Unqualified / research pending</x:v>
      </x:c>
      <x:c r="AC104" s="29" t="str"/>
      <x:c r="AD104" s="29" t="str">
        <x:f>E104&amp;" | "&amp;J104&amp;" | "&amp;K104&amp;" | "&amp;F104</x:f>
        <x:v>Unidentified number | — | — | ‎+380660009314</x:v>
      </x:c>
      <x:c r="AE104" s="31" t="n">
        <x:f>(IF(OR(O104="Confirmed",O104="Confirmed — phone matched"),2,IF(OR(O104="Self-identified",O104="Probable"),1,0))+IF(J104&lt;&gt;"—",1,0)+IF(K104&lt;&gt;"—",1,0)+IF(L104&lt;&gt;"To classify",1,0)+IF(OR(M104&lt;&gt;"",N104&lt;&gt;""),1,0)+IF(H104&lt;&gt;"",1,0)+IF(AB104&lt;&gt;"",1,0)+IF(X104&lt;&gt;"Unassigned",1,0))/9</x:f>
        <x:v>0.1111111111111111</x:v>
      </x:c>
    </x:row>
    <x:row r="105">
      <x:c r="A105" s="45" t="n">
        <x:v>101</x:v>
      </x:c>
      <x:c r="B105" s="29" t="str">
        <x:v>WhatsApp</x:v>
      </x:c>
      <x:c r="C105" s="29" t="str">
        <x:v>ISRM Ukraine</x:v>
      </x:c>
      <x:c r="D105" s="29" t="str">
        <x:v>+380 73 020 7211</x:v>
      </x:c>
      <x:c r="E105" s="29" t="str">
        <x:v>Unidentified number</x:v>
      </x:c>
      <x:c r="F105" s="29" t="str">
        <x:v>‎+380730207211</x:v>
      </x:c>
      <x:c r="G105" s="29" t="str">
        <x:v>Ukraine</x:v>
      </x:c>
      <x:c r="H105" s="29"/>
      <x:c r="I105" s="29"/>
      <x:c r="J105" s="29" t="str">
        <x:v>—</x:v>
      </x:c>
      <x:c r="K105" s="29" t="str">
        <x:v>—</x:v>
      </x:c>
      <x:c r="L105" s="29" t="str">
        <x:v>Business / advisory</x:v>
      </x:c>
      <x:c r="M105" s="29"/>
      <x:c r="N105" s="29"/>
      <x:c r="O105" s="29" t="str">
        <x:v>Unidentified</x:v>
      </x:c>
      <x:c r="P105" s="29" t="str">
        <x:v>None</x:v>
      </x:c>
      <x:c r="Q105" s="46" t="str">
        <x:v>No</x:v>
      </x:c>
      <x:c r="R105" s="29" t="str">
        <x:v>Member / participant</x:v>
      </x:c>
      <x:c r="S105" s="29" t="str">
        <x:v>Unqualified / research pending</x:v>
      </x:c>
      <x:c r="T105" s="29" t="str">
        <x:v>Identification pending</x:v>
      </x:c>
      <x:c r="U105" s="29" t="str">
        <x:v>Low</x:v>
      </x:c>
      <x:c r="V105" s="29" t="str">
        <x:v>No reliable commercial signal from the available data.</x:v>
      </x:c>
      <x:c r="W105" s="29" t="str">
        <x:v>Resolve identity and current role through a consensual group-admin or direct-message check before any outreach.</x:v>
      </x:c>
      <x:c r="X105" s="29" t="str">
        <x:v>Unassigned</x:v>
      </x:c>
      <x:c r="Y105" s="32" t="n">
        <x:v>46262</x:v>
      </x:c>
      <x:c r="Z105" s="29" t="str">
        <x:v>Not recorded — internal CRM only</x:v>
      </x:c>
      <x:c r="AA105" s="29" t="str">
        <x:v>Phone / closed-group source; human review required</x:v>
      </x:c>
      <x:c r="AB105" s="29" t="str">
        <x:v>Business / advisory; Leadership, advisory and business continuity; Unqualified / research pending</x:v>
      </x:c>
      <x:c r="AC105" s="29" t="str">
        <x:v>Hello. I’m using WhatsApp Business.</x:v>
      </x:c>
      <x:c r="AD105" s="29" t="str">
        <x:f>E105&amp;" | "&amp;J105&amp;" | "&amp;K105&amp;" | "&amp;F105</x:f>
        <x:v>Unidentified number | — | — | ‎+380730207211</x:v>
      </x:c>
      <x:c r="AE105" s="31" t="n">
        <x:f>(IF(OR(O105="Confirmed",O105="Confirmed — phone matched"),2,IF(OR(O105="Self-identified",O105="Probable"),1,0))+IF(J105&lt;&gt;"—",1,0)+IF(K105&lt;&gt;"—",1,0)+IF(L105&lt;&gt;"To classify",1,0)+IF(OR(M105&lt;&gt;"",N105&lt;&gt;""),1,0)+IF(H105&lt;&gt;"",1,0)+IF(AB105&lt;&gt;"",1,0)+IF(X105&lt;&gt;"Unassigned",1,0))/9</x:f>
        <x:v>0.2222222222222222</x:v>
      </x:c>
    </x:row>
    <x:row r="106">
      <x:c r="A106" s="45" t="n">
        <x:v>102</x:v>
      </x:c>
      <x:c r="B106" s="29" t="str">
        <x:v>WhatsApp</x:v>
      </x:c>
      <x:c r="C106" s="29" t="str">
        <x:v>ISRM Ukraine</x:v>
      </x:c>
      <x:c r="D106" s="29" t="str">
        <x:v>+380 97 499 7332</x:v>
      </x:c>
      <x:c r="E106" s="29" t="str">
        <x:v>Unidentified number</x:v>
      </x:c>
      <x:c r="F106" s="29" t="str">
        <x:v>‎+380974997332</x:v>
      </x:c>
      <x:c r="G106" s="29" t="str">
        <x:v>Ukraine</x:v>
      </x:c>
      <x:c r="H106" s="29"/>
      <x:c r="I106" s="29"/>
      <x:c r="J106" s="29" t="str">
        <x:v>—</x:v>
      </x:c>
      <x:c r="K106" s="29" t="str">
        <x:v>—</x:v>
      </x:c>
      <x:c r="L106" s="29" t="str">
        <x:v>To classify</x:v>
      </x:c>
      <x:c r="M106" s="29"/>
      <x:c r="N106" s="29"/>
      <x:c r="O106" s="29" t="str">
        <x:v>Unidentified</x:v>
      </x:c>
      <x:c r="P106" s="29" t="str">
        <x:v>None</x:v>
      </x:c>
      <x:c r="Q106" s="46" t="str">
        <x:v>No</x:v>
      </x:c>
      <x:c r="R106" s="29" t="str">
        <x:v>Member / participant</x:v>
      </x:c>
      <x:c r="S106" s="29" t="str">
        <x:v>Unqualified / research pending</x:v>
      </x:c>
      <x:c r="T106" s="29" t="str">
        <x:v>Identification pending</x:v>
      </x:c>
      <x:c r="U106" s="29" t="str">
        <x:v>Low</x:v>
      </x:c>
      <x:c r="V106" s="29" t="str">
        <x:v>No reliable commercial signal from the available data.</x:v>
      </x:c>
      <x:c r="W106" s="29" t="str">
        <x:v>Resolve identity and current role through a consensual group-admin or direct-message check before any outreach.</x:v>
      </x:c>
      <x:c r="X106" s="29" t="str">
        <x:v>Unassigned</x:v>
      </x:c>
      <x:c r="Y106" s="32" t="n">
        <x:v>46262</x:v>
      </x:c>
      <x:c r="Z106" s="29" t="str">
        <x:v>Not recorded — internal CRM only</x:v>
      </x:c>
      <x:c r="AA106" s="29" t="str">
        <x:v>Phone / closed-group source; human review required</x:v>
      </x:c>
      <x:c r="AB106" s="29" t="str">
        <x:v>Unqualified / research pending</x:v>
      </x:c>
      <x:c r="AC106" s="29" t="str"/>
      <x:c r="AD106" s="29" t="str">
        <x:f>E106&amp;" | "&amp;J106&amp;" | "&amp;K106&amp;" | "&amp;F106</x:f>
        <x:v>Unidentified number | — | — | ‎+380974997332</x:v>
      </x:c>
      <x:c r="AE106" s="31" t="n">
        <x:f>(IF(OR(O106="Confirmed",O106="Confirmed — phone matched"),2,IF(OR(O106="Self-identified",O106="Probable"),1,0))+IF(J106&lt;&gt;"—",1,0)+IF(K106&lt;&gt;"—",1,0)+IF(L106&lt;&gt;"To classify",1,0)+IF(OR(M106&lt;&gt;"",N106&lt;&gt;""),1,0)+IF(H106&lt;&gt;"",1,0)+IF(AB106&lt;&gt;"",1,0)+IF(X106&lt;&gt;"Unassigned",1,0))/9</x:f>
        <x:v>0.1111111111111111</x:v>
      </x:c>
    </x:row>
    <x:row r="107">
      <x:c r="A107" s="45" t="n">
        <x:v>103</x:v>
      </x:c>
      <x:c r="B107" s="29" t="str">
        <x:v>WhatsApp</x:v>
      </x:c>
      <x:c r="C107" s="29" t="str">
        <x:v>ISRM Ukraine</x:v>
      </x:c>
      <x:c r="D107" s="29" t="str">
        <x:v>+380 50 764 9372</x:v>
      </x:c>
      <x:c r="E107" s="29" t="str">
        <x:v>Unidentified number</x:v>
      </x:c>
      <x:c r="F107" s="29" t="str">
        <x:v>‎+380507649372</x:v>
      </x:c>
      <x:c r="G107" s="29" t="str">
        <x:v>Ukraine</x:v>
      </x:c>
      <x:c r="H107" s="29"/>
      <x:c r="I107" s="29"/>
      <x:c r="J107" s="29" t="str">
        <x:v>—</x:v>
      </x:c>
      <x:c r="K107" s="29" t="str">
        <x:v>—</x:v>
      </x:c>
      <x:c r="L107" s="29" t="str">
        <x:v>To classify</x:v>
      </x:c>
      <x:c r="M107" s="29"/>
      <x:c r="N107" s="29"/>
      <x:c r="O107" s="29" t="str">
        <x:v>Unidentified</x:v>
      </x:c>
      <x:c r="P107" s="29" t="str">
        <x:v>None</x:v>
      </x:c>
      <x:c r="Q107" s="46" t="str">
        <x:v>No</x:v>
      </x:c>
      <x:c r="R107" s="29" t="str">
        <x:v>Member / participant</x:v>
      </x:c>
      <x:c r="S107" s="29" t="str">
        <x:v>Unqualified / research pending</x:v>
      </x:c>
      <x:c r="T107" s="29" t="str">
        <x:v>Identification pending</x:v>
      </x:c>
      <x:c r="U107" s="29" t="str">
        <x:v>Low</x:v>
      </x:c>
      <x:c r="V107" s="29" t="str">
        <x:v>No reliable commercial signal from the available data.</x:v>
      </x:c>
      <x:c r="W107" s="29" t="str">
        <x:v>Resolve identity and current role through a consensual group-admin or direct-message check before any outreach.</x:v>
      </x:c>
      <x:c r="X107" s="29" t="str">
        <x:v>Unassigned</x:v>
      </x:c>
      <x:c r="Y107" s="32" t="n">
        <x:v>46262</x:v>
      </x:c>
      <x:c r="Z107" s="29" t="str">
        <x:v>Not recorded — internal CRM only</x:v>
      </x:c>
      <x:c r="AA107" s="29" t="str">
        <x:v>Phone / closed-group source; human review required</x:v>
      </x:c>
      <x:c r="AB107" s="29" t="str">
        <x:v>Unqualified / research pending</x:v>
      </x:c>
      <x:c r="AC107" s="29" t="str"/>
      <x:c r="AD107" s="29" t="str">
        <x:f>E107&amp;" | "&amp;J107&amp;" | "&amp;K107&amp;" | "&amp;F107</x:f>
        <x:v>Unidentified number | — | — | ‎+380507649372</x:v>
      </x:c>
      <x:c r="AE107" s="31" t="n">
        <x:f>(IF(OR(O107="Confirmed",O107="Confirmed — phone matched"),2,IF(OR(O107="Self-identified",O107="Probable"),1,0))+IF(J107&lt;&gt;"—",1,0)+IF(K107&lt;&gt;"—",1,0)+IF(L107&lt;&gt;"To classify",1,0)+IF(OR(M107&lt;&gt;"",N107&lt;&gt;""),1,0)+IF(H107&lt;&gt;"",1,0)+IF(AB107&lt;&gt;"",1,0)+IF(X107&lt;&gt;"Unassigned",1,0))/9</x:f>
        <x:v>0.1111111111111111</x:v>
      </x:c>
    </x:row>
    <x:row r="108">
      <x:c r="A108" s="45" t="n">
        <x:v>104</x:v>
      </x:c>
      <x:c r="B108" s="29" t="str">
        <x:v>WhatsApp</x:v>
      </x:c>
      <x:c r="C108" s="29" t="str">
        <x:v>ISRM Ukraine</x:v>
      </x:c>
      <x:c r="D108" s="29" t="str">
        <x:v>+380 95 208 6511</x:v>
      </x:c>
      <x:c r="E108" s="29" t="str">
        <x:v>Unidentified number</x:v>
      </x:c>
      <x:c r="F108" s="29" t="str">
        <x:v>‎+380952086511</x:v>
      </x:c>
      <x:c r="G108" s="29" t="str">
        <x:v>Ukraine</x:v>
      </x:c>
      <x:c r="H108" s="29"/>
      <x:c r="I108" s="29"/>
      <x:c r="J108" s="29" t="str">
        <x:v>—</x:v>
      </x:c>
      <x:c r="K108" s="29" t="str">
        <x:v>—</x:v>
      </x:c>
      <x:c r="L108" s="29" t="str">
        <x:v>To classify</x:v>
      </x:c>
      <x:c r="M108" s="29"/>
      <x:c r="N108" s="29"/>
      <x:c r="O108" s="29" t="str">
        <x:v>Unidentified</x:v>
      </x:c>
      <x:c r="P108" s="29" t="str">
        <x:v>None</x:v>
      </x:c>
      <x:c r="Q108" s="46" t="str">
        <x:v>No</x:v>
      </x:c>
      <x:c r="R108" s="29" t="str">
        <x:v>Member / participant</x:v>
      </x:c>
      <x:c r="S108" s="29" t="str">
        <x:v>Unqualified / research pending</x:v>
      </x:c>
      <x:c r="T108" s="29" t="str">
        <x:v>Identification pending</x:v>
      </x:c>
      <x:c r="U108" s="29" t="str">
        <x:v>Low</x:v>
      </x:c>
      <x:c r="V108" s="29" t="str">
        <x:v>No reliable commercial signal from the available data.</x:v>
      </x:c>
      <x:c r="W108" s="29" t="str">
        <x:v>Resolve identity and current role through a consensual group-admin or direct-message check before any outreach.</x:v>
      </x:c>
      <x:c r="X108" s="29" t="str">
        <x:v>Unassigned</x:v>
      </x:c>
      <x:c r="Y108" s="32" t="n">
        <x:v>46262</x:v>
      </x:c>
      <x:c r="Z108" s="29" t="str">
        <x:v>Not recorded — internal CRM only</x:v>
      </x:c>
      <x:c r="AA108" s="29" t="str">
        <x:v>Phone / closed-group source; human review required</x:v>
      </x:c>
      <x:c r="AB108" s="29" t="str">
        <x:v>Unqualified / research pending</x:v>
      </x:c>
      <x:c r="AC108" s="29" t="str"/>
      <x:c r="AD108" s="29" t="str">
        <x:f>E108&amp;" | "&amp;J108&amp;" | "&amp;K108&amp;" | "&amp;F108</x:f>
        <x:v>Unidentified number | — | — | ‎+380952086511</x:v>
      </x:c>
      <x:c r="AE108" s="31" t="n">
        <x:f>(IF(OR(O108="Confirmed",O108="Confirmed — phone matched"),2,IF(OR(O108="Self-identified",O108="Probable"),1,0))+IF(J108&lt;&gt;"—",1,0)+IF(K108&lt;&gt;"—",1,0)+IF(L108&lt;&gt;"To classify",1,0)+IF(OR(M108&lt;&gt;"",N108&lt;&gt;""),1,0)+IF(H108&lt;&gt;"",1,0)+IF(AB108&lt;&gt;"",1,0)+IF(X108&lt;&gt;"Unassigned",1,0))/9</x:f>
        <x:v>0.1111111111111111</x:v>
      </x:c>
    </x:row>
    <x:row r="109">
      <x:c r="A109" s="45" t="n">
        <x:v>105</x:v>
      </x:c>
      <x:c r="B109" s="29" t="str">
        <x:v>WhatsApp</x:v>
      </x:c>
      <x:c r="C109" s="29" t="str">
        <x:v>ISRM Ukraine</x:v>
      </x:c>
      <x:c r="D109" s="29" t="str">
        <x:v>+380 50 595 5939</x:v>
      </x:c>
      <x:c r="E109" s="29" t="str">
        <x:v>Unidentified number</x:v>
      </x:c>
      <x:c r="F109" s="29" t="str">
        <x:v>‎+380505955939</x:v>
      </x:c>
      <x:c r="G109" s="29" t="str">
        <x:v>Ukraine</x:v>
      </x:c>
      <x:c r="H109" s="29"/>
      <x:c r="I109" s="29"/>
      <x:c r="J109" s="29" t="str">
        <x:v>—</x:v>
      </x:c>
      <x:c r="K109" s="29" t="str">
        <x:v>—</x:v>
      </x:c>
      <x:c r="L109" s="29" t="str">
        <x:v>To classify</x:v>
      </x:c>
      <x:c r="M109" s="29"/>
      <x:c r="N109" s="29"/>
      <x:c r="O109" s="29" t="str">
        <x:v>Unidentified</x:v>
      </x:c>
      <x:c r="P109" s="29" t="str">
        <x:v>None</x:v>
      </x:c>
      <x:c r="Q109" s="46" t="str">
        <x:v>No</x:v>
      </x:c>
      <x:c r="R109" s="29" t="str">
        <x:v>Member / participant</x:v>
      </x:c>
      <x:c r="S109" s="29" t="str">
        <x:v>Unqualified / research pending</x:v>
      </x:c>
      <x:c r="T109" s="29" t="str">
        <x:v>Identification pending</x:v>
      </x:c>
      <x:c r="U109" s="29" t="str">
        <x:v>Low</x:v>
      </x:c>
      <x:c r="V109" s="29" t="str">
        <x:v>No reliable commercial signal from the available data.</x:v>
      </x:c>
      <x:c r="W109" s="29" t="str">
        <x:v>Resolve identity and current role through a consensual group-admin or direct-message check before any outreach.</x:v>
      </x:c>
      <x:c r="X109" s="29" t="str">
        <x:v>Unassigned</x:v>
      </x:c>
      <x:c r="Y109" s="32" t="n">
        <x:v>46262</x:v>
      </x:c>
      <x:c r="Z109" s="29" t="str">
        <x:v>Not recorded — internal CRM only</x:v>
      </x:c>
      <x:c r="AA109" s="29" t="str">
        <x:v>Phone / closed-group source; human review required</x:v>
      </x:c>
      <x:c r="AB109" s="29" t="str">
        <x:v>Unqualified / research pending</x:v>
      </x:c>
      <x:c r="AC109" s="29" t="str"/>
      <x:c r="AD109" s="29" t="str">
        <x:f>E109&amp;" | "&amp;J109&amp;" | "&amp;K109&amp;" | "&amp;F109</x:f>
        <x:v>Unidentified number | — | — | ‎+380505955939</x:v>
      </x:c>
      <x:c r="AE109" s="31" t="n">
        <x:f>(IF(OR(O109="Confirmed",O109="Confirmed — phone matched"),2,IF(OR(O109="Self-identified",O109="Probable"),1,0))+IF(J109&lt;&gt;"—",1,0)+IF(K109&lt;&gt;"—",1,0)+IF(L109&lt;&gt;"To classify",1,0)+IF(OR(M109&lt;&gt;"",N109&lt;&gt;""),1,0)+IF(H109&lt;&gt;"",1,0)+IF(AB109&lt;&gt;"",1,0)+IF(X109&lt;&gt;"Unassigned",1,0))/9</x:f>
        <x:v>0.1111111111111111</x:v>
      </x:c>
    </x:row>
    <x:row r="110">
      <x:c r="A110" s="45" t="n">
        <x:v>106</x:v>
      </x:c>
      <x:c r="B110" s="29" t="str">
        <x:v>WhatsApp</x:v>
      </x:c>
      <x:c r="C110" s="29" t="str">
        <x:v>ISRM Ukraine</x:v>
      </x:c>
      <x:c r="D110" s="29" t="str">
        <x:v>+380 50 503 0405</x:v>
      </x:c>
      <x:c r="E110" s="29" t="str">
        <x:v>Unidentified number</x:v>
      </x:c>
      <x:c r="F110" s="29" t="str">
        <x:v>‎+380505030405</x:v>
      </x:c>
      <x:c r="G110" s="29" t="str">
        <x:v>Ukraine</x:v>
      </x:c>
      <x:c r="H110" s="29"/>
      <x:c r="I110" s="29"/>
      <x:c r="J110" s="29" t="str">
        <x:v>—</x:v>
      </x:c>
      <x:c r="K110" s="29" t="str">
        <x:v>—</x:v>
      </x:c>
      <x:c r="L110" s="29" t="str">
        <x:v>To classify</x:v>
      </x:c>
      <x:c r="M110" s="29"/>
      <x:c r="N110" s="29"/>
      <x:c r="O110" s="29" t="str">
        <x:v>Unidentified</x:v>
      </x:c>
      <x:c r="P110" s="29" t="str">
        <x:v>None</x:v>
      </x:c>
      <x:c r="Q110" s="46" t="str">
        <x:v>No</x:v>
      </x:c>
      <x:c r="R110" s="29" t="str">
        <x:v>Member / participant</x:v>
      </x:c>
      <x:c r="S110" s="29" t="str">
        <x:v>Unqualified / research pending</x:v>
      </x:c>
      <x:c r="T110" s="29" t="str">
        <x:v>Identification pending</x:v>
      </x:c>
      <x:c r="U110" s="29" t="str">
        <x:v>Low</x:v>
      </x:c>
      <x:c r="V110" s="29" t="str">
        <x:v>No reliable commercial signal from the available data.</x:v>
      </x:c>
      <x:c r="W110" s="29" t="str">
        <x:v>Resolve identity and current role through a consensual group-admin or direct-message check before any outreach.</x:v>
      </x:c>
      <x:c r="X110" s="29" t="str">
        <x:v>Unassigned</x:v>
      </x:c>
      <x:c r="Y110" s="32" t="n">
        <x:v>46262</x:v>
      </x:c>
      <x:c r="Z110" s="29" t="str">
        <x:v>Not recorded — internal CRM only</x:v>
      </x:c>
      <x:c r="AA110" s="29" t="str">
        <x:v>Phone / closed-group source; human review required</x:v>
      </x:c>
      <x:c r="AB110" s="29" t="str">
        <x:v>Unqualified / research pending</x:v>
      </x:c>
      <x:c r="AC110" s="29" t="str"/>
      <x:c r="AD110" s="29" t="str">
        <x:f>E110&amp;" | "&amp;J110&amp;" | "&amp;K110&amp;" | "&amp;F110</x:f>
        <x:v>Unidentified number | — | — | ‎+380505030405</x:v>
      </x:c>
      <x:c r="AE110" s="31" t="n">
        <x:f>(IF(OR(O110="Confirmed",O110="Confirmed — phone matched"),2,IF(OR(O110="Self-identified",O110="Probable"),1,0))+IF(J110&lt;&gt;"—",1,0)+IF(K110&lt;&gt;"—",1,0)+IF(L110&lt;&gt;"To classify",1,0)+IF(OR(M110&lt;&gt;"",N110&lt;&gt;""),1,0)+IF(H110&lt;&gt;"",1,0)+IF(AB110&lt;&gt;"",1,0)+IF(X110&lt;&gt;"Unassigned",1,0))/9</x:f>
        <x:v>0.1111111111111111</x:v>
      </x:c>
    </x:row>
    <x:row r="111">
      <x:c r="A111" s="45" t="n">
        <x:v>107</x:v>
      </x:c>
      <x:c r="B111" s="29" t="str">
        <x:v>WhatsApp</x:v>
      </x:c>
      <x:c r="C111" s="29" t="str">
        <x:v>ISRM Ukraine</x:v>
      </x:c>
      <x:c r="D111" s="29" t="str">
        <x:v>+380 50 263 1346</x:v>
      </x:c>
      <x:c r="E111" s="29" t="str">
        <x:v>Unidentified number</x:v>
      </x:c>
      <x:c r="F111" s="29" t="str">
        <x:v>‎+380502631346</x:v>
      </x:c>
      <x:c r="G111" s="29" t="str">
        <x:v>Ukraine</x:v>
      </x:c>
      <x:c r="H111" s="29"/>
      <x:c r="I111" s="29"/>
      <x:c r="J111" s="29" t="str">
        <x:v>—</x:v>
      </x:c>
      <x:c r="K111" s="29" t="str">
        <x:v>—</x:v>
      </x:c>
      <x:c r="L111" s="29" t="str">
        <x:v>To classify</x:v>
      </x:c>
      <x:c r="M111" s="29"/>
      <x:c r="N111" s="29"/>
      <x:c r="O111" s="29" t="str">
        <x:v>Unidentified</x:v>
      </x:c>
      <x:c r="P111" s="29" t="str">
        <x:v>None</x:v>
      </x:c>
      <x:c r="Q111" s="46" t="str">
        <x:v>No</x:v>
      </x:c>
      <x:c r="R111" s="29" t="str">
        <x:v>Member / participant</x:v>
      </x:c>
      <x:c r="S111" s="29" t="str">
        <x:v>Unqualified / research pending</x:v>
      </x:c>
      <x:c r="T111" s="29" t="str">
        <x:v>Identification pending</x:v>
      </x:c>
      <x:c r="U111" s="29" t="str">
        <x:v>Low</x:v>
      </x:c>
      <x:c r="V111" s="29" t="str">
        <x:v>No reliable commercial signal from the available data.</x:v>
      </x:c>
      <x:c r="W111" s="29" t="str">
        <x:v>Resolve identity and current role through a consensual group-admin or direct-message check before any outreach.</x:v>
      </x:c>
      <x:c r="X111" s="29" t="str">
        <x:v>Unassigned</x:v>
      </x:c>
      <x:c r="Y111" s="32" t="n">
        <x:v>46262</x:v>
      </x:c>
      <x:c r="Z111" s="29" t="str">
        <x:v>Not recorded — internal CRM only</x:v>
      </x:c>
      <x:c r="AA111" s="29" t="str">
        <x:v>Phone / closed-group source; human review required</x:v>
      </x:c>
      <x:c r="AB111" s="29" t="str">
        <x:v>Unqualified / research pending</x:v>
      </x:c>
      <x:c r="AC111" s="29" t="str"/>
      <x:c r="AD111" s="29" t="str">
        <x:f>E111&amp;" | "&amp;J111&amp;" | "&amp;K111&amp;" | "&amp;F111</x:f>
        <x:v>Unidentified number | — | — | ‎+380502631346</x:v>
      </x:c>
      <x:c r="AE111" s="31" t="n">
        <x:f>(IF(OR(O111="Confirmed",O111="Confirmed — phone matched"),2,IF(OR(O111="Self-identified",O111="Probable"),1,0))+IF(J111&lt;&gt;"—",1,0)+IF(K111&lt;&gt;"—",1,0)+IF(L111&lt;&gt;"To classify",1,0)+IF(OR(M111&lt;&gt;"",N111&lt;&gt;""),1,0)+IF(H111&lt;&gt;"",1,0)+IF(AB111&lt;&gt;"",1,0)+IF(X111&lt;&gt;"Unassigned",1,0))/9</x:f>
        <x:v>0.1111111111111111</x:v>
      </x:c>
    </x:row>
    <x:row r="112">
      <x:c r="A112" s="45" t="n">
        <x:v>108</x:v>
      </x:c>
      <x:c r="B112" s="29" t="str">
        <x:v>WhatsApp</x:v>
      </x:c>
      <x:c r="C112" s="29" t="str">
        <x:v>ISRM Ukraine</x:v>
      </x:c>
      <x:c r="D112" s="29" t="str">
        <x:v>+380 98 122 7516</x:v>
      </x:c>
      <x:c r="E112" s="29" t="str">
        <x:v>Unidentified number</x:v>
      </x:c>
      <x:c r="F112" s="29" t="str">
        <x:v>‎+380981227516</x:v>
      </x:c>
      <x:c r="G112" s="29" t="str">
        <x:v>Ukraine</x:v>
      </x:c>
      <x:c r="H112" s="29"/>
      <x:c r="I112" s="29"/>
      <x:c r="J112" s="29" t="str">
        <x:v>—</x:v>
      </x:c>
      <x:c r="K112" s="29" t="str">
        <x:v>—</x:v>
      </x:c>
      <x:c r="L112" s="29" t="str">
        <x:v>To classify</x:v>
      </x:c>
      <x:c r="M112" s="29"/>
      <x:c r="N112" s="29"/>
      <x:c r="O112" s="29" t="str">
        <x:v>Unidentified</x:v>
      </x:c>
      <x:c r="P112" s="29" t="str">
        <x:v>None</x:v>
      </x:c>
      <x:c r="Q112" s="46" t="str">
        <x:v>No</x:v>
      </x:c>
      <x:c r="R112" s="29" t="str">
        <x:v>Member / participant</x:v>
      </x:c>
      <x:c r="S112" s="29" t="str">
        <x:v>Unqualified / research pending</x:v>
      </x:c>
      <x:c r="T112" s="29" t="str">
        <x:v>Identification pending</x:v>
      </x:c>
      <x:c r="U112" s="29" t="str">
        <x:v>Low</x:v>
      </x:c>
      <x:c r="V112" s="29" t="str">
        <x:v>No reliable commercial signal from the available data.</x:v>
      </x:c>
      <x:c r="W112" s="29" t="str">
        <x:v>Resolve identity and current role through a consensual group-admin or direct-message check before any outreach.</x:v>
      </x:c>
      <x:c r="X112" s="29" t="str">
        <x:v>Unassigned</x:v>
      </x:c>
      <x:c r="Y112" s="32" t="n">
        <x:v>46262</x:v>
      </x:c>
      <x:c r="Z112" s="29" t="str">
        <x:v>Not recorded — internal CRM only</x:v>
      </x:c>
      <x:c r="AA112" s="29" t="str">
        <x:v>Phone / closed-group source; human review required</x:v>
      </x:c>
      <x:c r="AB112" s="29" t="str">
        <x:v>Unqualified / research pending</x:v>
      </x:c>
      <x:c r="AC112" s="29" t="str"/>
      <x:c r="AD112" s="29" t="str">
        <x:f>E112&amp;" | "&amp;J112&amp;" | "&amp;K112&amp;" | "&amp;F112</x:f>
        <x:v>Unidentified number | — | — | ‎+380981227516</x:v>
      </x:c>
      <x:c r="AE112" s="31" t="n">
        <x:f>(IF(OR(O112="Confirmed",O112="Confirmed — phone matched"),2,IF(OR(O112="Self-identified",O112="Probable"),1,0))+IF(J112&lt;&gt;"—",1,0)+IF(K112&lt;&gt;"—",1,0)+IF(L112&lt;&gt;"To classify",1,0)+IF(OR(M112&lt;&gt;"",N112&lt;&gt;""),1,0)+IF(H112&lt;&gt;"",1,0)+IF(AB112&lt;&gt;"",1,0)+IF(X112&lt;&gt;"Unassigned",1,0))/9</x:f>
        <x:v>0.1111111111111111</x:v>
      </x:c>
    </x:row>
    <x:row r="113">
      <x:c r="A113" s="45" t="n">
        <x:v>109</x:v>
      </x:c>
      <x:c r="B113" s="29" t="str">
        <x:v>WhatsApp</x:v>
      </x:c>
      <x:c r="C113" s="29" t="str">
        <x:v>ISRM Ukraine</x:v>
      </x:c>
      <x:c r="D113" s="29" t="str">
        <x:v>+380 63 673 4409</x:v>
      </x:c>
      <x:c r="E113" s="29" t="str">
        <x:v>Unidentified number</x:v>
      </x:c>
      <x:c r="F113" s="29" t="str">
        <x:v>‎+380636734409</x:v>
      </x:c>
      <x:c r="G113" s="29" t="str">
        <x:v>Ukraine</x:v>
      </x:c>
      <x:c r="H113" s="29"/>
      <x:c r="I113" s="29"/>
      <x:c r="J113" s="29" t="str">
        <x:v>—</x:v>
      </x:c>
      <x:c r="K113" s="29" t="str">
        <x:v>—</x:v>
      </x:c>
      <x:c r="L113" s="29" t="str">
        <x:v>To classify</x:v>
      </x:c>
      <x:c r="M113" s="29"/>
      <x:c r="N113" s="29"/>
      <x:c r="O113" s="29" t="str">
        <x:v>Unidentified</x:v>
      </x:c>
      <x:c r="P113" s="29" t="str">
        <x:v>None</x:v>
      </x:c>
      <x:c r="Q113" s="46" t="str">
        <x:v>No</x:v>
      </x:c>
      <x:c r="R113" s="29" t="str">
        <x:v>Member / participant</x:v>
      </x:c>
      <x:c r="S113" s="29" t="str">
        <x:v>Unqualified / research pending</x:v>
      </x:c>
      <x:c r="T113" s="29" t="str">
        <x:v>Identification pending</x:v>
      </x:c>
      <x:c r="U113" s="29" t="str">
        <x:v>Low</x:v>
      </x:c>
      <x:c r="V113" s="29" t="str">
        <x:v>No reliable commercial signal from the available data.</x:v>
      </x:c>
      <x:c r="W113" s="29" t="str">
        <x:v>Resolve identity and current role through a consensual group-admin or direct-message check before any outreach.</x:v>
      </x:c>
      <x:c r="X113" s="29" t="str">
        <x:v>Unassigned</x:v>
      </x:c>
      <x:c r="Y113" s="32" t="n">
        <x:v>46262</x:v>
      </x:c>
      <x:c r="Z113" s="29" t="str">
        <x:v>Not recorded — internal CRM only</x:v>
      </x:c>
      <x:c r="AA113" s="29" t="str">
        <x:v>Phone / closed-group source; human review required</x:v>
      </x:c>
      <x:c r="AB113" s="29" t="str">
        <x:v>Unqualified / research pending</x:v>
      </x:c>
      <x:c r="AC113" s="29" t="str"/>
      <x:c r="AD113" s="29" t="str">
        <x:f>E113&amp;" | "&amp;J113&amp;" | "&amp;K113&amp;" | "&amp;F113</x:f>
        <x:v>Unidentified number | — | — | ‎+380636734409</x:v>
      </x:c>
      <x:c r="AE113" s="31" t="n">
        <x:f>(IF(OR(O113="Confirmed",O113="Confirmed — phone matched"),2,IF(OR(O113="Self-identified",O113="Probable"),1,0))+IF(J113&lt;&gt;"—",1,0)+IF(K113&lt;&gt;"—",1,0)+IF(L113&lt;&gt;"To classify",1,0)+IF(OR(M113&lt;&gt;"",N113&lt;&gt;""),1,0)+IF(H113&lt;&gt;"",1,0)+IF(AB113&lt;&gt;"",1,0)+IF(X113&lt;&gt;"Unassigned",1,0))/9</x:f>
        <x:v>0.1111111111111111</x:v>
      </x:c>
    </x:row>
    <x:row r="114">
      <x:c r="A114" s="45" t="n">
        <x:v>110</x:v>
      </x:c>
      <x:c r="B114" s="29" t="str">
        <x:v>WhatsApp</x:v>
      </x:c>
      <x:c r="C114" s="29" t="str">
        <x:v>ISRM Ukraine</x:v>
      </x:c>
      <x:c r="D114" s="29" t="str">
        <x:v>+380 95 568 8235</x:v>
      </x:c>
      <x:c r="E114" s="29" t="str">
        <x:v>Unidentified number</x:v>
      </x:c>
      <x:c r="F114" s="29" t="str">
        <x:v>‎+380955688235</x:v>
      </x:c>
      <x:c r="G114" s="29" t="str">
        <x:v>Ukraine</x:v>
      </x:c>
      <x:c r="H114" s="29"/>
      <x:c r="I114" s="29"/>
      <x:c r="J114" s="29" t="str">
        <x:v>—</x:v>
      </x:c>
      <x:c r="K114" s="29" t="str">
        <x:v>—</x:v>
      </x:c>
      <x:c r="L114" s="29" t="str">
        <x:v>To classify</x:v>
      </x:c>
      <x:c r="M114" s="29"/>
      <x:c r="N114" s="29"/>
      <x:c r="O114" s="29" t="str">
        <x:v>Unidentified</x:v>
      </x:c>
      <x:c r="P114" s="29" t="str">
        <x:v>None</x:v>
      </x:c>
      <x:c r="Q114" s="46" t="str">
        <x:v>No</x:v>
      </x:c>
      <x:c r="R114" s="29" t="str">
        <x:v>Member / participant</x:v>
      </x:c>
      <x:c r="S114" s="29" t="str">
        <x:v>Unqualified / research pending</x:v>
      </x:c>
      <x:c r="T114" s="29" t="str">
        <x:v>Identification pending</x:v>
      </x:c>
      <x:c r="U114" s="29" t="str">
        <x:v>Low</x:v>
      </x:c>
      <x:c r="V114" s="29" t="str">
        <x:v>No reliable commercial signal from the available data.</x:v>
      </x:c>
      <x:c r="W114" s="29" t="str">
        <x:v>Resolve identity and current role through a consensual group-admin or direct-message check before any outreach.</x:v>
      </x:c>
      <x:c r="X114" s="29" t="str">
        <x:v>Unassigned</x:v>
      </x:c>
      <x:c r="Y114" s="32" t="n">
        <x:v>46262</x:v>
      </x:c>
      <x:c r="Z114" s="29" t="str">
        <x:v>Not recorded — internal CRM only</x:v>
      </x:c>
      <x:c r="AA114" s="29" t="str">
        <x:v>Phone / closed-group source; human review required</x:v>
      </x:c>
      <x:c r="AB114" s="29" t="str">
        <x:v>Unqualified / research pending</x:v>
      </x:c>
      <x:c r="AC114" s="29" t="str"/>
      <x:c r="AD114" s="29" t="str">
        <x:f>E114&amp;" | "&amp;J114&amp;" | "&amp;K114&amp;" | "&amp;F114</x:f>
        <x:v>Unidentified number | — | — | ‎+380955688235</x:v>
      </x:c>
      <x:c r="AE114" s="31" t="n">
        <x:f>(IF(OR(O114="Confirmed",O114="Confirmed — phone matched"),2,IF(OR(O114="Self-identified",O114="Probable"),1,0))+IF(J114&lt;&gt;"—",1,0)+IF(K114&lt;&gt;"—",1,0)+IF(L114&lt;&gt;"To classify",1,0)+IF(OR(M114&lt;&gt;"",N114&lt;&gt;""),1,0)+IF(H114&lt;&gt;"",1,0)+IF(AB114&lt;&gt;"",1,0)+IF(X114&lt;&gt;"Unassigned",1,0))/9</x:f>
        <x:v>0.1111111111111111</x:v>
      </x:c>
    </x:row>
    <x:row r="115">
      <x:c r="A115" s="45" t="n">
        <x:v>111</x:v>
      </x:c>
      <x:c r="B115" s="29" t="str">
        <x:v>WhatsApp</x:v>
      </x:c>
      <x:c r="C115" s="29" t="str">
        <x:v>ISRM Ukraine</x:v>
      </x:c>
      <x:c r="D115" s="29" t="str">
        <x:v>+380 67 219 9989</x:v>
      </x:c>
      <x:c r="E115" s="29" t="str">
        <x:v>Unidentified number</x:v>
      </x:c>
      <x:c r="F115" s="29" t="str">
        <x:v>‎+380672199989</x:v>
      </x:c>
      <x:c r="G115" s="29" t="str">
        <x:v>Ukraine</x:v>
      </x:c>
      <x:c r="H115" s="29"/>
      <x:c r="I115" s="29"/>
      <x:c r="J115" s="29" t="str">
        <x:v>—</x:v>
      </x:c>
      <x:c r="K115" s="29" t="str">
        <x:v>—</x:v>
      </x:c>
      <x:c r="L115" s="29" t="str">
        <x:v>To classify</x:v>
      </x:c>
      <x:c r="M115" s="29"/>
      <x:c r="N115" s="29"/>
      <x:c r="O115" s="29" t="str">
        <x:v>Unidentified</x:v>
      </x:c>
      <x:c r="P115" s="29" t="str">
        <x:v>None</x:v>
      </x:c>
      <x:c r="Q115" s="46" t="str">
        <x:v>No</x:v>
      </x:c>
      <x:c r="R115" s="29" t="str">
        <x:v>Member / participant</x:v>
      </x:c>
      <x:c r="S115" s="29" t="str">
        <x:v>Unqualified / research pending</x:v>
      </x:c>
      <x:c r="T115" s="29" t="str">
        <x:v>Identification pending</x:v>
      </x:c>
      <x:c r="U115" s="29" t="str">
        <x:v>Low</x:v>
      </x:c>
      <x:c r="V115" s="29" t="str">
        <x:v>No reliable commercial signal from the available data.</x:v>
      </x:c>
      <x:c r="W115" s="29" t="str">
        <x:v>Resolve identity and current role through a consensual group-admin or direct-message check before any outreach.</x:v>
      </x:c>
      <x:c r="X115" s="29" t="str">
        <x:v>Unassigned</x:v>
      </x:c>
      <x:c r="Y115" s="32" t="n">
        <x:v>46262</x:v>
      </x:c>
      <x:c r="Z115" s="29" t="str">
        <x:v>Not recorded — internal CRM only</x:v>
      </x:c>
      <x:c r="AA115" s="29" t="str">
        <x:v>Phone / closed-group source; human review required</x:v>
      </x:c>
      <x:c r="AB115" s="29" t="str">
        <x:v>Unqualified / research pending</x:v>
      </x:c>
      <x:c r="AC115" s="29" t="str"/>
      <x:c r="AD115" s="29" t="str">
        <x:f>E115&amp;" | "&amp;J115&amp;" | "&amp;K115&amp;" | "&amp;F115</x:f>
        <x:v>Unidentified number | — | — | ‎+380672199989</x:v>
      </x:c>
      <x:c r="AE115" s="31" t="n">
        <x:f>(IF(OR(O115="Confirmed",O115="Confirmed — phone matched"),2,IF(OR(O115="Self-identified",O115="Probable"),1,0))+IF(J115&lt;&gt;"—",1,0)+IF(K115&lt;&gt;"—",1,0)+IF(L115&lt;&gt;"To classify",1,0)+IF(OR(M115&lt;&gt;"",N115&lt;&gt;""),1,0)+IF(H115&lt;&gt;"",1,0)+IF(AB115&lt;&gt;"",1,0)+IF(X115&lt;&gt;"Unassigned",1,0))/9</x:f>
        <x:v>0.1111111111111111</x:v>
      </x:c>
    </x:row>
    <x:row r="116">
      <x:c r="A116" s="45" t="n">
        <x:v>112</x:v>
      </x:c>
      <x:c r="B116" s="29" t="str">
        <x:v>WhatsApp</x:v>
      </x:c>
      <x:c r="C116" s="29" t="str">
        <x:v>ISRM Ukraine</x:v>
      </x:c>
      <x:c r="D116" s="29" t="str">
        <x:v>+380 68 612 9814</x:v>
      </x:c>
      <x:c r="E116" s="29" t="str">
        <x:v>Unidentified number</x:v>
      </x:c>
      <x:c r="F116" s="29" t="str">
        <x:v>‎+380686129814</x:v>
      </x:c>
      <x:c r="G116" s="29" t="str">
        <x:v>Ukraine</x:v>
      </x:c>
      <x:c r="H116" s="29"/>
      <x:c r="I116" s="29"/>
      <x:c r="J116" s="29" t="str">
        <x:v>—</x:v>
      </x:c>
      <x:c r="K116" s="29" t="str">
        <x:v>—</x:v>
      </x:c>
      <x:c r="L116" s="29" t="str">
        <x:v>To classify</x:v>
      </x:c>
      <x:c r="M116" s="29"/>
      <x:c r="N116" s="29"/>
      <x:c r="O116" s="29" t="str">
        <x:v>Unidentified</x:v>
      </x:c>
      <x:c r="P116" s="29" t="str">
        <x:v>None</x:v>
      </x:c>
      <x:c r="Q116" s="46" t="str">
        <x:v>No</x:v>
      </x:c>
      <x:c r="R116" s="29" t="str">
        <x:v>Member / participant</x:v>
      </x:c>
      <x:c r="S116" s="29" t="str">
        <x:v>Unqualified / research pending</x:v>
      </x:c>
      <x:c r="T116" s="29" t="str">
        <x:v>Identification pending</x:v>
      </x:c>
      <x:c r="U116" s="29" t="str">
        <x:v>Low</x:v>
      </x:c>
      <x:c r="V116" s="29" t="str">
        <x:v>No reliable commercial signal from the available data.</x:v>
      </x:c>
      <x:c r="W116" s="29" t="str">
        <x:v>Resolve identity and current role through a consensual group-admin or direct-message check before any outreach.</x:v>
      </x:c>
      <x:c r="X116" s="29" t="str">
        <x:v>Unassigned</x:v>
      </x:c>
      <x:c r="Y116" s="32" t="n">
        <x:v>46262</x:v>
      </x:c>
      <x:c r="Z116" s="29" t="str">
        <x:v>Not recorded — internal CRM only</x:v>
      </x:c>
      <x:c r="AA116" s="29" t="str">
        <x:v>Phone / closed-group source; human review required</x:v>
      </x:c>
      <x:c r="AB116" s="29" t="str">
        <x:v>Unqualified / research pending</x:v>
      </x:c>
      <x:c r="AC116" s="29" t="str"/>
      <x:c r="AD116" s="29" t="str">
        <x:f>E116&amp;" | "&amp;J116&amp;" | "&amp;K116&amp;" | "&amp;F116</x:f>
        <x:v>Unidentified number | — | — | ‎+380686129814</x:v>
      </x:c>
      <x:c r="AE116" s="31" t="n">
        <x:f>(IF(OR(O116="Confirmed",O116="Confirmed — phone matched"),2,IF(OR(O116="Self-identified",O116="Probable"),1,0))+IF(J116&lt;&gt;"—",1,0)+IF(K116&lt;&gt;"—",1,0)+IF(L116&lt;&gt;"To classify",1,0)+IF(OR(M116&lt;&gt;"",N116&lt;&gt;""),1,0)+IF(H116&lt;&gt;"",1,0)+IF(AB116&lt;&gt;"",1,0)+IF(X116&lt;&gt;"Unassigned",1,0))/9</x:f>
        <x:v>0.1111111111111111</x:v>
      </x:c>
    </x:row>
    <x:row r="117">
      <x:c r="A117" s="45" t="n">
        <x:v>113</x:v>
      </x:c>
      <x:c r="B117" s="29" t="str">
        <x:v>WhatsApp</x:v>
      </x:c>
      <x:c r="C117" s="29" t="str">
        <x:v>ISRM Ukraine</x:v>
      </x:c>
      <x:c r="D117" s="29" t="str">
        <x:v>+380 95 229 8153</x:v>
      </x:c>
      <x:c r="E117" s="29" t="str">
        <x:v>Unidentified number</x:v>
      </x:c>
      <x:c r="F117" s="29" t="str">
        <x:v>‎+380952298153</x:v>
      </x:c>
      <x:c r="G117" s="29" t="str">
        <x:v>Ukraine</x:v>
      </x:c>
      <x:c r="H117" s="29"/>
      <x:c r="I117" s="29"/>
      <x:c r="J117" s="29" t="str">
        <x:v>—</x:v>
      </x:c>
      <x:c r="K117" s="29" t="str">
        <x:v>—</x:v>
      </x:c>
      <x:c r="L117" s="29" t="str">
        <x:v>To classify</x:v>
      </x:c>
      <x:c r="M117" s="29"/>
      <x:c r="N117" s="29"/>
      <x:c r="O117" s="29" t="str">
        <x:v>Unidentified</x:v>
      </x:c>
      <x:c r="P117" s="29" t="str">
        <x:v>None</x:v>
      </x:c>
      <x:c r="Q117" s="46" t="str">
        <x:v>No</x:v>
      </x:c>
      <x:c r="R117" s="29" t="str">
        <x:v>Member / participant</x:v>
      </x:c>
      <x:c r="S117" s="29" t="str">
        <x:v>Unqualified / research pending</x:v>
      </x:c>
      <x:c r="T117" s="29" t="str">
        <x:v>Identification pending</x:v>
      </x:c>
      <x:c r="U117" s="29" t="str">
        <x:v>Low</x:v>
      </x:c>
      <x:c r="V117" s="29" t="str">
        <x:v>No reliable commercial signal from the available data.</x:v>
      </x:c>
      <x:c r="W117" s="29" t="str">
        <x:v>Resolve identity and current role through a consensual group-admin or direct-message check before any outreach.</x:v>
      </x:c>
      <x:c r="X117" s="29" t="str">
        <x:v>Unassigned</x:v>
      </x:c>
      <x:c r="Y117" s="32" t="n">
        <x:v>46262</x:v>
      </x:c>
      <x:c r="Z117" s="29" t="str">
        <x:v>Not recorded — internal CRM only</x:v>
      </x:c>
      <x:c r="AA117" s="29" t="str">
        <x:v>Phone / closed-group source; human review required</x:v>
      </x:c>
      <x:c r="AB117" s="29" t="str">
        <x:v>Unqualified / research pending</x:v>
      </x:c>
      <x:c r="AC117" s="29" t="str"/>
      <x:c r="AD117" s="29" t="str">
        <x:f>E117&amp;" | "&amp;J117&amp;" | "&amp;K117&amp;" | "&amp;F117</x:f>
        <x:v>Unidentified number | — | — | ‎+380952298153</x:v>
      </x:c>
      <x:c r="AE117" s="31" t="n">
        <x:f>(IF(OR(O117="Confirmed",O117="Confirmed — phone matched"),2,IF(OR(O117="Self-identified",O117="Probable"),1,0))+IF(J117&lt;&gt;"—",1,0)+IF(K117&lt;&gt;"—",1,0)+IF(L117&lt;&gt;"To classify",1,0)+IF(OR(M117&lt;&gt;"",N117&lt;&gt;""),1,0)+IF(H117&lt;&gt;"",1,0)+IF(AB117&lt;&gt;"",1,0)+IF(X117&lt;&gt;"Unassigned",1,0))/9</x:f>
        <x:v>0.1111111111111111</x:v>
      </x:c>
    </x:row>
    <x:row r="118">
      <x:c r="A118" s="45" t="n">
        <x:v>114</x:v>
      </x:c>
      <x:c r="B118" s="29" t="str">
        <x:v>WhatsApp</x:v>
      </x:c>
      <x:c r="C118" s="29" t="str">
        <x:v>ISRM Ukraine</x:v>
      </x:c>
      <x:c r="D118" s="29" t="str">
        <x:v>+357 95 520350</x:v>
      </x:c>
      <x:c r="E118" s="29" t="str">
        <x:v>Matt Fensom</x:v>
      </x:c>
      <x:c r="F118" s="29" t="str">
        <x:v>‎+35795520350</x:v>
      </x:c>
      <x:c r="G118" s="29" t="str">
        <x:v>Cyprus</x:v>
      </x:c>
      <x:c r="H118" s="29"/>
      <x:c r="I118" s="29"/>
      <x:c r="J118" s="29" t="str">
        <x:v>Independent / former UK military</x:v>
      </x:c>
      <x:c r="K118" s="29" t="str">
        <x:v>Former OF-5 UK military officer</x:v>
      </x:c>
      <x:c r="L118" s="29" t="str">
        <x:v>To classify</x:v>
      </x:c>
      <x:c r="M118" s="29"/>
      <x:c r="N118" s="29"/>
      <x:c r="O118" s="29" t="str">
        <x:v>Self-identified</x:v>
      </x:c>
      <x:c r="P118" s="29" t="str">
        <x:v>Medium</x:v>
      </x:c>
      <x:c r="Q118" s="46" t="str">
        <x:v>No</x:v>
      </x:c>
      <x:c r="R118" s="29" t="str">
        <x:v>Connector / community multiplier</x:v>
      </x:c>
      <x:c r="S118" s="29" t="str">
        <x:v>Connector / community multiplier</x:v>
      </x:c>
      <x:c r="T118" s="29" t="str">
        <x:v>Identity stated; professional verification pending</x:v>
      </x:c>
      <x:c r="U118" s="29" t="str">
        <x:v>Medium</x:v>
      </x:c>
      <x:c r="V118" s="29" t="str">
        <x:v>Senior military background may offer defense/security network access.</x:v>
      </x:c>
      <x:c r="W118" s="29" t="str">
        <x:v>Verify current commercial role and Ukraine activity.</x:v>
      </x:c>
      <x:c r="X118" s="29" t="str">
        <x:v>Unassigned</x:v>
      </x:c>
      <x:c r="Y118" s="32" t="n">
        <x:v>46262</x:v>
      </x:c>
      <x:c r="Z118" s="29" t="str">
        <x:v>Not recorded — internal CRM only</x:v>
      </x:c>
      <x:c r="AA118" s="29" t="str">
        <x:v>Phone / closed-group source; human review required</x:v>
      </x:c>
      <x:c r="AB118" s="29" t="str">
        <x:v>Connector / community multiplier</x:v>
      </x:c>
      <x:c r="AC118" s="29" t="str">
        <x:v>Matt Fensom Ex OF5 UK Mil.</x:v>
      </x:c>
      <x:c r="AD118" s="29" t="str">
        <x:f>E118&amp;" | "&amp;J118&amp;" | "&amp;K118&amp;" | "&amp;F118</x:f>
        <x:v>Matt Fensom | Independent / former UK military | Former OF-5 UK military officer | ‎+35795520350</x:v>
      </x:c>
      <x:c r="AE118" s="31" t="n">
        <x:f>(IF(OR(O118="Confirmed",O118="Confirmed — phone matched"),2,IF(OR(O118="Self-identified",O118="Probable"),1,0))+IF(J118&lt;&gt;"—",1,0)+IF(K118&lt;&gt;"—",1,0)+IF(L118&lt;&gt;"To classify",1,0)+IF(OR(M118&lt;&gt;"",N118&lt;&gt;""),1,0)+IF(H118&lt;&gt;"",1,0)+IF(AB118&lt;&gt;"",1,0)+IF(X118&lt;&gt;"Unassigned",1,0))/9</x:f>
        <x:v>0.4444444444444444</x:v>
      </x:c>
    </x:row>
    <x:row r="119">
      <x:c r="A119" s="45" t="n">
        <x:v>115</x:v>
      </x:c>
      <x:c r="B119" s="29" t="str">
        <x:v>WhatsApp</x:v>
      </x:c>
      <x:c r="C119" s="29" t="str">
        <x:v>ISRM Ukraine</x:v>
      </x:c>
      <x:c r="D119" s="29" t="str">
        <x:v>+380 93 496 1719</x:v>
      </x:c>
      <x:c r="E119" s="29" t="str">
        <x:v>Unidentified number</x:v>
      </x:c>
      <x:c r="F119" s="29" t="str">
        <x:v>‎+380934961719</x:v>
      </x:c>
      <x:c r="G119" s="29" t="str">
        <x:v>Ukraine</x:v>
      </x:c>
      <x:c r="H119" s="29"/>
      <x:c r="I119" s="29"/>
      <x:c r="J119" s="29" t="str">
        <x:v>—</x:v>
      </x:c>
      <x:c r="K119" s="29" t="str">
        <x:v>—</x:v>
      </x:c>
      <x:c r="L119" s="29" t="str">
        <x:v>To classify</x:v>
      </x:c>
      <x:c r="M119" s="29"/>
      <x:c r="N119" s="29"/>
      <x:c r="O119" s="29" t="str">
        <x:v>Unidentified</x:v>
      </x:c>
      <x:c r="P119" s="29" t="str">
        <x:v>None</x:v>
      </x:c>
      <x:c r="Q119" s="46" t="str">
        <x:v>No</x:v>
      </x:c>
      <x:c r="R119" s="29" t="str">
        <x:v>Member / participant</x:v>
      </x:c>
      <x:c r="S119" s="29" t="str">
        <x:v>Unqualified / research pending</x:v>
      </x:c>
      <x:c r="T119" s="29" t="str">
        <x:v>Identification pending</x:v>
      </x:c>
      <x:c r="U119" s="29" t="str">
        <x:v>Low</x:v>
      </x:c>
      <x:c r="V119" s="29" t="str">
        <x:v>No reliable commercial signal from the available data.</x:v>
      </x:c>
      <x:c r="W119" s="29" t="str">
        <x:v>Resolve identity and current role through a consensual group-admin or direct-message check before any outreach.</x:v>
      </x:c>
      <x:c r="X119" s="29" t="str">
        <x:v>Unassigned</x:v>
      </x:c>
      <x:c r="Y119" s="32" t="n">
        <x:v>46262</x:v>
      </x:c>
      <x:c r="Z119" s="29" t="str">
        <x:v>Not recorded — internal CRM only</x:v>
      </x:c>
      <x:c r="AA119" s="29" t="str">
        <x:v>Phone / closed-group source; human review required</x:v>
      </x:c>
      <x:c r="AB119" s="29" t="str">
        <x:v>Unqualified / research pending</x:v>
      </x:c>
      <x:c r="AC119" s="29" t="str"/>
      <x:c r="AD119" s="29" t="str">
        <x:f>E119&amp;" | "&amp;J119&amp;" | "&amp;K119&amp;" | "&amp;F119</x:f>
        <x:v>Unidentified number | — | — | ‎+380934961719</x:v>
      </x:c>
      <x:c r="AE119" s="31" t="n">
        <x:f>(IF(OR(O119="Confirmed",O119="Confirmed — phone matched"),2,IF(OR(O119="Self-identified",O119="Probable"),1,0))+IF(J119&lt;&gt;"—",1,0)+IF(K119&lt;&gt;"—",1,0)+IF(L119&lt;&gt;"To classify",1,0)+IF(OR(M119&lt;&gt;"",N119&lt;&gt;""),1,0)+IF(H119&lt;&gt;"",1,0)+IF(AB119&lt;&gt;"",1,0)+IF(X119&lt;&gt;"Unassigned",1,0))/9</x:f>
        <x:v>0.1111111111111111</x:v>
      </x:c>
    </x:row>
    <x:row r="120">
      <x:c r="A120" s="45" t="n">
        <x:v>116</x:v>
      </x:c>
      <x:c r="B120" s="29" t="str">
        <x:v>WhatsApp</x:v>
      </x:c>
      <x:c r="C120" s="29" t="str">
        <x:v>ISRM Ukraine</x:v>
      </x:c>
      <x:c r="D120" s="29" t="str">
        <x:v>+380 98 557 2630</x:v>
      </x:c>
      <x:c r="E120" s="29" t="str">
        <x:v>Unidentified number</x:v>
      </x:c>
      <x:c r="F120" s="29" t="str">
        <x:v>‎+380985572630</x:v>
      </x:c>
      <x:c r="G120" s="29" t="str">
        <x:v>Ukraine</x:v>
      </x:c>
      <x:c r="H120" s="29"/>
      <x:c r="I120" s="29"/>
      <x:c r="J120" s="29" t="str">
        <x:v>—</x:v>
      </x:c>
      <x:c r="K120" s="29" t="str">
        <x:v>—</x:v>
      </x:c>
      <x:c r="L120" s="29" t="str">
        <x:v>To classify</x:v>
      </x:c>
      <x:c r="M120" s="29"/>
      <x:c r="N120" s="29"/>
      <x:c r="O120" s="29" t="str">
        <x:v>Unidentified</x:v>
      </x:c>
      <x:c r="P120" s="29" t="str">
        <x:v>None</x:v>
      </x:c>
      <x:c r="Q120" s="46" t="str">
        <x:v>No</x:v>
      </x:c>
      <x:c r="R120" s="29" t="str">
        <x:v>Member / participant</x:v>
      </x:c>
      <x:c r="S120" s="29" t="str">
        <x:v>Unqualified / research pending</x:v>
      </x:c>
      <x:c r="T120" s="29" t="str">
        <x:v>Identification pending</x:v>
      </x:c>
      <x:c r="U120" s="29" t="str">
        <x:v>Low</x:v>
      </x:c>
      <x:c r="V120" s="29" t="str">
        <x:v>No reliable commercial signal from the available data.</x:v>
      </x:c>
      <x:c r="W120" s="29" t="str">
        <x:v>Resolve identity and current role through a consensual group-admin or direct-message check before any outreach.</x:v>
      </x:c>
      <x:c r="X120" s="29" t="str">
        <x:v>Unassigned</x:v>
      </x:c>
      <x:c r="Y120" s="32" t="n">
        <x:v>46262</x:v>
      </x:c>
      <x:c r="Z120" s="29" t="str">
        <x:v>Not recorded — internal CRM only</x:v>
      </x:c>
      <x:c r="AA120" s="29" t="str">
        <x:v>Phone / closed-group source; human review required</x:v>
      </x:c>
      <x:c r="AB120" s="29" t="str">
        <x:v>Unqualified / research pending</x:v>
      </x:c>
      <x:c r="AC120" s="29" t="str"/>
      <x:c r="AD120" s="29" t="str">
        <x:f>E120&amp;" | "&amp;J120&amp;" | "&amp;K120&amp;" | "&amp;F120</x:f>
        <x:v>Unidentified number | — | — | ‎+380985572630</x:v>
      </x:c>
      <x:c r="AE120" s="31" t="n">
        <x:f>(IF(OR(O120="Confirmed",O120="Confirmed — phone matched"),2,IF(OR(O120="Self-identified",O120="Probable"),1,0))+IF(J120&lt;&gt;"—",1,0)+IF(K120&lt;&gt;"—",1,0)+IF(L120&lt;&gt;"To classify",1,0)+IF(OR(M120&lt;&gt;"",N120&lt;&gt;""),1,0)+IF(H120&lt;&gt;"",1,0)+IF(AB120&lt;&gt;"",1,0)+IF(X120&lt;&gt;"Unassigned",1,0))/9</x:f>
        <x:v>0.1111111111111111</x:v>
      </x:c>
    </x:row>
    <x:row r="121">
      <x:c r="A121" s="45" t="n">
        <x:v>117</x:v>
      </x:c>
      <x:c r="B121" s="29" t="str">
        <x:v>WhatsApp</x:v>
      </x:c>
      <x:c r="C121" s="29" t="str">
        <x:v>ISRM Ukraine</x:v>
      </x:c>
      <x:c r="D121" s="29" t="str">
        <x:v>+380 99 703 4196</x:v>
      </x:c>
      <x:c r="E121" s="29" t="str">
        <x:v>Unidentified number</x:v>
      </x:c>
      <x:c r="F121" s="29" t="str">
        <x:v>‎+380997034196</x:v>
      </x:c>
      <x:c r="G121" s="29" t="str">
        <x:v>Ukraine</x:v>
      </x:c>
      <x:c r="H121" s="29"/>
      <x:c r="I121" s="29"/>
      <x:c r="J121" s="29" t="str">
        <x:v>—</x:v>
      </x:c>
      <x:c r="K121" s="29" t="str">
        <x:v>—</x:v>
      </x:c>
      <x:c r="L121" s="29" t="str">
        <x:v>To classify</x:v>
      </x:c>
      <x:c r="M121" s="29"/>
      <x:c r="N121" s="29"/>
      <x:c r="O121" s="29" t="str">
        <x:v>Unidentified</x:v>
      </x:c>
      <x:c r="P121" s="29" t="str">
        <x:v>None</x:v>
      </x:c>
      <x:c r="Q121" s="46" t="str">
        <x:v>No</x:v>
      </x:c>
      <x:c r="R121" s="29" t="str">
        <x:v>Member / participant</x:v>
      </x:c>
      <x:c r="S121" s="29" t="str">
        <x:v>Unqualified / research pending</x:v>
      </x:c>
      <x:c r="T121" s="29" t="str">
        <x:v>Identification pending</x:v>
      </x:c>
      <x:c r="U121" s="29" t="str">
        <x:v>Low</x:v>
      </x:c>
      <x:c r="V121" s="29" t="str">
        <x:v>No reliable commercial signal from the available data.</x:v>
      </x:c>
      <x:c r="W121" s="29" t="str">
        <x:v>Resolve identity and current role through a consensual group-admin or direct-message check before any outreach.</x:v>
      </x:c>
      <x:c r="X121" s="29" t="str">
        <x:v>Unassigned</x:v>
      </x:c>
      <x:c r="Y121" s="32" t="n">
        <x:v>46262</x:v>
      </x:c>
      <x:c r="Z121" s="29" t="str">
        <x:v>Not recorded — internal CRM only</x:v>
      </x:c>
      <x:c r="AA121" s="29" t="str">
        <x:v>Phone / closed-group source; human review required</x:v>
      </x:c>
      <x:c r="AB121" s="29" t="str">
        <x:v>Unqualified / research pending</x:v>
      </x:c>
      <x:c r="AC121" s="29" t="str"/>
      <x:c r="AD121" s="29" t="str">
        <x:f>E121&amp;" | "&amp;J121&amp;" | "&amp;K121&amp;" | "&amp;F121</x:f>
        <x:v>Unidentified number | — | — | ‎+380997034196</x:v>
      </x:c>
      <x:c r="AE121" s="31" t="n">
        <x:f>(IF(OR(O121="Confirmed",O121="Confirmed — phone matched"),2,IF(OR(O121="Self-identified",O121="Probable"),1,0))+IF(J121&lt;&gt;"—",1,0)+IF(K121&lt;&gt;"—",1,0)+IF(L121&lt;&gt;"To classify",1,0)+IF(OR(M121&lt;&gt;"",N121&lt;&gt;""),1,0)+IF(H121&lt;&gt;"",1,0)+IF(AB121&lt;&gt;"",1,0)+IF(X121&lt;&gt;"Unassigned",1,0))/9</x:f>
        <x:v>0.1111111111111111</x:v>
      </x:c>
    </x:row>
    <x:row r="122">
      <x:c r="A122" s="45" t="n">
        <x:v>118</x:v>
      </x:c>
      <x:c r="B122" s="29" t="str">
        <x:v>WhatsApp</x:v>
      </x:c>
      <x:c r="C122" s="29" t="str">
        <x:v>ISRM Ukraine</x:v>
      </x:c>
      <x:c r="D122" s="29" t="str">
        <x:v>+380 99 355 7484</x:v>
      </x:c>
      <x:c r="E122" s="29" t="str">
        <x:v>Unidentified number</x:v>
      </x:c>
      <x:c r="F122" s="29" t="str">
        <x:v>‎+380993557484</x:v>
      </x:c>
      <x:c r="G122" s="29" t="str">
        <x:v>Ukraine</x:v>
      </x:c>
      <x:c r="H122" s="29"/>
      <x:c r="I122" s="29"/>
      <x:c r="J122" s="29" t="str">
        <x:v>—</x:v>
      </x:c>
      <x:c r="K122" s="29" t="str">
        <x:v>—</x:v>
      </x:c>
      <x:c r="L122" s="29" t="str">
        <x:v>To classify</x:v>
      </x:c>
      <x:c r="M122" s="29"/>
      <x:c r="N122" s="29"/>
      <x:c r="O122" s="29" t="str">
        <x:v>Unidentified</x:v>
      </x:c>
      <x:c r="P122" s="29" t="str">
        <x:v>None</x:v>
      </x:c>
      <x:c r="Q122" s="46" t="str">
        <x:v>No</x:v>
      </x:c>
      <x:c r="R122" s="29" t="str">
        <x:v>Member / participant</x:v>
      </x:c>
      <x:c r="S122" s="29" t="str">
        <x:v>Unqualified / research pending</x:v>
      </x:c>
      <x:c r="T122" s="29" t="str">
        <x:v>Identification pending</x:v>
      </x:c>
      <x:c r="U122" s="29" t="str">
        <x:v>Low</x:v>
      </x:c>
      <x:c r="V122" s="29" t="str">
        <x:v>No reliable commercial signal from the available data.</x:v>
      </x:c>
      <x:c r="W122" s="29" t="str">
        <x:v>Resolve identity and current role through a consensual group-admin or direct-message check before any outreach.</x:v>
      </x:c>
      <x:c r="X122" s="29" t="str">
        <x:v>Unassigned</x:v>
      </x:c>
      <x:c r="Y122" s="32" t="n">
        <x:v>46262</x:v>
      </x:c>
      <x:c r="Z122" s="29" t="str">
        <x:v>Not recorded — internal CRM only</x:v>
      </x:c>
      <x:c r="AA122" s="29" t="str">
        <x:v>Phone / closed-group source; human review required</x:v>
      </x:c>
      <x:c r="AB122" s="29" t="str">
        <x:v>Unqualified / research pending</x:v>
      </x:c>
      <x:c r="AC122" s="29" t="str"/>
      <x:c r="AD122" s="29" t="str">
        <x:f>E122&amp;" | "&amp;J122&amp;" | "&amp;K122&amp;" | "&amp;F122</x:f>
        <x:v>Unidentified number | — | — | ‎+380993557484</x:v>
      </x:c>
      <x:c r="AE122" s="31" t="n">
        <x:f>(IF(OR(O122="Confirmed",O122="Confirmed — phone matched"),2,IF(OR(O122="Self-identified",O122="Probable"),1,0))+IF(J122&lt;&gt;"—",1,0)+IF(K122&lt;&gt;"—",1,0)+IF(L122&lt;&gt;"To classify",1,0)+IF(OR(M122&lt;&gt;"",N122&lt;&gt;""),1,0)+IF(H122&lt;&gt;"",1,0)+IF(AB122&lt;&gt;"",1,0)+IF(X122&lt;&gt;"Unassigned",1,0))/9</x:f>
        <x:v>0.1111111111111111</x:v>
      </x:c>
    </x:row>
    <x:row r="123">
      <x:c r="A123" s="45" t="n">
        <x:v>119</x:v>
      </x:c>
      <x:c r="B123" s="29" t="str">
        <x:v>WhatsApp</x:v>
      </x:c>
      <x:c r="C123" s="29" t="str">
        <x:v>ISRM Ukraine</x:v>
      </x:c>
      <x:c r="D123" s="29" t="str">
        <x:v>+380 50 859 5723</x:v>
      </x:c>
      <x:c r="E123" s="29" t="str">
        <x:v>Unidentified number</x:v>
      </x:c>
      <x:c r="F123" s="29" t="str">
        <x:v>‎+380508595723</x:v>
      </x:c>
      <x:c r="G123" s="29" t="str">
        <x:v>Ukraine</x:v>
      </x:c>
      <x:c r="H123" s="29"/>
      <x:c r="I123" s="29"/>
      <x:c r="J123" s="29" t="str">
        <x:v>—</x:v>
      </x:c>
      <x:c r="K123" s="29" t="str">
        <x:v>—</x:v>
      </x:c>
      <x:c r="L123" s="29" t="str">
        <x:v>To classify</x:v>
      </x:c>
      <x:c r="M123" s="29"/>
      <x:c r="N123" s="29"/>
      <x:c r="O123" s="29" t="str">
        <x:v>Unidentified</x:v>
      </x:c>
      <x:c r="P123" s="29" t="str">
        <x:v>None</x:v>
      </x:c>
      <x:c r="Q123" s="46" t="str">
        <x:v>No</x:v>
      </x:c>
      <x:c r="R123" s="29" t="str">
        <x:v>Member / participant</x:v>
      </x:c>
      <x:c r="S123" s="29" t="str">
        <x:v>Unqualified / research pending</x:v>
      </x:c>
      <x:c r="T123" s="29" t="str">
        <x:v>Identification pending</x:v>
      </x:c>
      <x:c r="U123" s="29" t="str">
        <x:v>Low</x:v>
      </x:c>
      <x:c r="V123" s="29" t="str">
        <x:v>No reliable commercial signal from the available data.</x:v>
      </x:c>
      <x:c r="W123" s="29" t="str">
        <x:v>Resolve identity and current role through a consensual group-admin or direct-message check before any outreach.</x:v>
      </x:c>
      <x:c r="X123" s="29" t="str">
        <x:v>Unassigned</x:v>
      </x:c>
      <x:c r="Y123" s="32" t="n">
        <x:v>46262</x:v>
      </x:c>
      <x:c r="Z123" s="29" t="str">
        <x:v>Not recorded — internal CRM only</x:v>
      </x:c>
      <x:c r="AA123" s="29" t="str">
        <x:v>Phone / closed-group source; human review required</x:v>
      </x:c>
      <x:c r="AB123" s="29" t="str">
        <x:v>Unqualified / research pending</x:v>
      </x:c>
      <x:c r="AC123" s="29" t="str"/>
      <x:c r="AD123" s="29" t="str">
        <x:f>E123&amp;" | "&amp;J123&amp;" | "&amp;K123&amp;" | "&amp;F123</x:f>
        <x:v>Unidentified number | — | — | ‎+380508595723</x:v>
      </x:c>
      <x:c r="AE123" s="31" t="n">
        <x:f>(IF(OR(O123="Confirmed",O123="Confirmed — phone matched"),2,IF(OR(O123="Self-identified",O123="Probable"),1,0))+IF(J123&lt;&gt;"—",1,0)+IF(K123&lt;&gt;"—",1,0)+IF(L123&lt;&gt;"To classify",1,0)+IF(OR(M123&lt;&gt;"",N123&lt;&gt;""),1,0)+IF(H123&lt;&gt;"",1,0)+IF(AB123&lt;&gt;"",1,0)+IF(X123&lt;&gt;"Unassigned",1,0))/9</x:f>
        <x:v>0.1111111111111111</x:v>
      </x:c>
    </x:row>
    <x:row r="124">
      <x:c r="A124" s="45" t="n">
        <x:v>120</x:v>
      </x:c>
      <x:c r="B124" s="29" t="str">
        <x:v>WhatsApp</x:v>
      </x:c>
      <x:c r="C124" s="29" t="str">
        <x:v>ISRM Ukraine</x:v>
      </x:c>
      <x:c r="D124" s="29" t="str">
        <x:v>+380 63 668 5242</x:v>
      </x:c>
      <x:c r="E124" s="29" t="str">
        <x:v>Unidentified number</x:v>
      </x:c>
      <x:c r="F124" s="29" t="str">
        <x:v>‎+380636685242</x:v>
      </x:c>
      <x:c r="G124" s="29" t="str">
        <x:v>Ukraine</x:v>
      </x:c>
      <x:c r="H124" s="29"/>
      <x:c r="I124" s="29"/>
      <x:c r="J124" s="29" t="str">
        <x:v>—</x:v>
      </x:c>
      <x:c r="K124" s="29" t="str">
        <x:v>—</x:v>
      </x:c>
      <x:c r="L124" s="29" t="str">
        <x:v>To classify</x:v>
      </x:c>
      <x:c r="M124" s="29"/>
      <x:c r="N124" s="29"/>
      <x:c r="O124" s="29" t="str">
        <x:v>Unidentified</x:v>
      </x:c>
      <x:c r="P124" s="29" t="str">
        <x:v>None</x:v>
      </x:c>
      <x:c r="Q124" s="46" t="str">
        <x:v>No</x:v>
      </x:c>
      <x:c r="R124" s="29" t="str">
        <x:v>Member / participant</x:v>
      </x:c>
      <x:c r="S124" s="29" t="str">
        <x:v>Unqualified / research pending</x:v>
      </x:c>
      <x:c r="T124" s="29" t="str">
        <x:v>Identification pending</x:v>
      </x:c>
      <x:c r="U124" s="29" t="str">
        <x:v>Low</x:v>
      </x:c>
      <x:c r="V124" s="29" t="str">
        <x:v>No reliable commercial signal from the available data.</x:v>
      </x:c>
      <x:c r="W124" s="29" t="str">
        <x:v>Resolve identity and current role through a consensual group-admin or direct-message check before any outreach.</x:v>
      </x:c>
      <x:c r="X124" s="29" t="str">
        <x:v>Unassigned</x:v>
      </x:c>
      <x:c r="Y124" s="32" t="n">
        <x:v>46262</x:v>
      </x:c>
      <x:c r="Z124" s="29" t="str">
        <x:v>Not recorded — internal CRM only</x:v>
      </x:c>
      <x:c r="AA124" s="29" t="str">
        <x:v>Phone / closed-group source; human review required</x:v>
      </x:c>
      <x:c r="AB124" s="29" t="str">
        <x:v>Unqualified / research pending</x:v>
      </x:c>
      <x:c r="AC124" s="29" t="str"/>
      <x:c r="AD124" s="29" t="str">
        <x:f>E124&amp;" | "&amp;J124&amp;" | "&amp;K124&amp;" | "&amp;F124</x:f>
        <x:v>Unidentified number | — | — | ‎+380636685242</x:v>
      </x:c>
      <x:c r="AE124" s="31" t="n">
        <x:f>(IF(OR(O124="Confirmed",O124="Confirmed — phone matched"),2,IF(OR(O124="Self-identified",O124="Probable"),1,0))+IF(J124&lt;&gt;"—",1,0)+IF(K124&lt;&gt;"—",1,0)+IF(L124&lt;&gt;"To classify",1,0)+IF(OR(M124&lt;&gt;"",N124&lt;&gt;""),1,0)+IF(H124&lt;&gt;"",1,0)+IF(AB124&lt;&gt;"",1,0)+IF(X124&lt;&gt;"Unassigned",1,0))/9</x:f>
        <x:v>0.1111111111111111</x:v>
      </x:c>
    </x:row>
    <x:row r="125">
      <x:c r="A125" s="45" t="n">
        <x:v>121</x:v>
      </x:c>
      <x:c r="B125" s="29" t="str">
        <x:v>WhatsApp</x:v>
      </x:c>
      <x:c r="C125" s="29" t="str">
        <x:v>ISRM Ukraine</x:v>
      </x:c>
      <x:c r="D125" s="29" t="str">
        <x:v>+380 67 231 6465</x:v>
      </x:c>
      <x:c r="E125" s="29" t="str">
        <x:v>Unidentified number</x:v>
      </x:c>
      <x:c r="F125" s="29" t="str">
        <x:v>‎+380672316465</x:v>
      </x:c>
      <x:c r="G125" s="29" t="str">
        <x:v>Ukraine</x:v>
      </x:c>
      <x:c r="H125" s="29"/>
      <x:c r="I125" s="29"/>
      <x:c r="J125" s="29" t="str">
        <x:v>—</x:v>
      </x:c>
      <x:c r="K125" s="29" t="str">
        <x:v>—</x:v>
      </x:c>
      <x:c r="L125" s="29" t="str">
        <x:v>To classify</x:v>
      </x:c>
      <x:c r="M125" s="29"/>
      <x:c r="N125" s="29"/>
      <x:c r="O125" s="29" t="str">
        <x:v>Unidentified</x:v>
      </x:c>
      <x:c r="P125" s="29" t="str">
        <x:v>None</x:v>
      </x:c>
      <x:c r="Q125" s="46" t="str">
        <x:v>No</x:v>
      </x:c>
      <x:c r="R125" s="29" t="str">
        <x:v>Member / participant</x:v>
      </x:c>
      <x:c r="S125" s="29" t="str">
        <x:v>Unqualified / research pending</x:v>
      </x:c>
      <x:c r="T125" s="29" t="str">
        <x:v>Identification pending</x:v>
      </x:c>
      <x:c r="U125" s="29" t="str">
        <x:v>Low</x:v>
      </x:c>
      <x:c r="V125" s="29" t="str">
        <x:v>No reliable commercial signal from the available data.</x:v>
      </x:c>
      <x:c r="W125" s="29" t="str">
        <x:v>Resolve identity and current role through a consensual group-admin or direct-message check before any outreach.</x:v>
      </x:c>
      <x:c r="X125" s="29" t="str">
        <x:v>Unassigned</x:v>
      </x:c>
      <x:c r="Y125" s="32" t="n">
        <x:v>46262</x:v>
      </x:c>
      <x:c r="Z125" s="29" t="str">
        <x:v>Not recorded — internal CRM only</x:v>
      </x:c>
      <x:c r="AA125" s="29" t="str">
        <x:v>Phone / closed-group source; human review required</x:v>
      </x:c>
      <x:c r="AB125" s="29" t="str">
        <x:v>Unqualified / research pending</x:v>
      </x:c>
      <x:c r="AC125" s="29" t="str"/>
      <x:c r="AD125" s="29" t="str">
        <x:f>E125&amp;" | "&amp;J125&amp;" | "&amp;K125&amp;" | "&amp;F125</x:f>
        <x:v>Unidentified number | — | — | ‎+380672316465</x:v>
      </x:c>
      <x:c r="AE125" s="31" t="n">
        <x:f>(IF(OR(O125="Confirmed",O125="Confirmed — phone matched"),2,IF(OR(O125="Self-identified",O125="Probable"),1,0))+IF(J125&lt;&gt;"—",1,0)+IF(K125&lt;&gt;"—",1,0)+IF(L125&lt;&gt;"To classify",1,0)+IF(OR(M125&lt;&gt;"",N125&lt;&gt;""),1,0)+IF(H125&lt;&gt;"",1,0)+IF(AB125&lt;&gt;"",1,0)+IF(X125&lt;&gt;"Unassigned",1,0))/9</x:f>
        <x:v>0.1111111111111111</x:v>
      </x:c>
    </x:row>
    <x:row r="126">
      <x:c r="A126" s="45" t="n">
        <x:v>122</x:v>
      </x:c>
      <x:c r="B126" s="29" t="str">
        <x:v>WhatsApp</x:v>
      </x:c>
      <x:c r="C126" s="29" t="str">
        <x:v>ISRM Ukraine</x:v>
      </x:c>
      <x:c r="D126" s="29" t="str">
        <x:v>+380 66 212 9402</x:v>
      </x:c>
      <x:c r="E126" s="29" t="str">
        <x:v>Unidentified number</x:v>
      </x:c>
      <x:c r="F126" s="29" t="str">
        <x:v>‎+380662129402</x:v>
      </x:c>
      <x:c r="G126" s="29" t="str">
        <x:v>Ukraine</x:v>
      </x:c>
      <x:c r="H126" s="29"/>
      <x:c r="I126" s="29"/>
      <x:c r="J126" s="29" t="str">
        <x:v>—</x:v>
      </x:c>
      <x:c r="K126" s="29" t="str">
        <x:v>—</x:v>
      </x:c>
      <x:c r="L126" s="29" t="str">
        <x:v>To classify</x:v>
      </x:c>
      <x:c r="M126" s="29"/>
      <x:c r="N126" s="29"/>
      <x:c r="O126" s="29" t="str">
        <x:v>Unidentified</x:v>
      </x:c>
      <x:c r="P126" s="29" t="str">
        <x:v>None</x:v>
      </x:c>
      <x:c r="Q126" s="46" t="str">
        <x:v>No</x:v>
      </x:c>
      <x:c r="R126" s="29" t="str">
        <x:v>Member / participant</x:v>
      </x:c>
      <x:c r="S126" s="29" t="str">
        <x:v>Unqualified / research pending</x:v>
      </x:c>
      <x:c r="T126" s="29" t="str">
        <x:v>Identification pending</x:v>
      </x:c>
      <x:c r="U126" s="29" t="str">
        <x:v>Low</x:v>
      </x:c>
      <x:c r="V126" s="29" t="str">
        <x:v>No reliable commercial signal from the available data.</x:v>
      </x:c>
      <x:c r="W126" s="29" t="str">
        <x:v>Resolve identity and current role through a consensual group-admin or direct-message check before any outreach.</x:v>
      </x:c>
      <x:c r="X126" s="29" t="str">
        <x:v>Unassigned</x:v>
      </x:c>
      <x:c r="Y126" s="32" t="n">
        <x:v>46262</x:v>
      </x:c>
      <x:c r="Z126" s="29" t="str">
        <x:v>Not recorded — internal CRM only</x:v>
      </x:c>
      <x:c r="AA126" s="29" t="str">
        <x:v>Phone / closed-group source; human review required</x:v>
      </x:c>
      <x:c r="AB126" s="29" t="str">
        <x:v>Unqualified / research pending</x:v>
      </x:c>
      <x:c r="AC126" s="29" t="str"/>
      <x:c r="AD126" s="29" t="str">
        <x:f>E126&amp;" | "&amp;J126&amp;" | "&amp;K126&amp;" | "&amp;F126</x:f>
        <x:v>Unidentified number | — | — | ‎+380662129402</x:v>
      </x:c>
      <x:c r="AE126" s="31" t="n">
        <x:f>(IF(OR(O126="Confirmed",O126="Confirmed — phone matched"),2,IF(OR(O126="Self-identified",O126="Probable"),1,0))+IF(J126&lt;&gt;"—",1,0)+IF(K126&lt;&gt;"—",1,0)+IF(L126&lt;&gt;"To classify",1,0)+IF(OR(M126&lt;&gt;"",N126&lt;&gt;""),1,0)+IF(H126&lt;&gt;"",1,0)+IF(AB126&lt;&gt;"",1,0)+IF(X126&lt;&gt;"Unassigned",1,0))/9</x:f>
        <x:v>0.1111111111111111</x:v>
      </x:c>
    </x:row>
    <x:row r="127">
      <x:c r="A127" s="45" t="n">
        <x:v>123</x:v>
      </x:c>
      <x:c r="B127" s="29" t="str">
        <x:v>WhatsApp</x:v>
      </x:c>
      <x:c r="C127" s="29" t="str">
        <x:v>ISRM Ukraine</x:v>
      </x:c>
      <x:c r="D127" s="29" t="str">
        <x:v>+380 98 002 7282</x:v>
      </x:c>
      <x:c r="E127" s="29" t="str">
        <x:v>Unidentified number</x:v>
      </x:c>
      <x:c r="F127" s="29" t="str">
        <x:v>‎+380980027282</x:v>
      </x:c>
      <x:c r="G127" s="29" t="str">
        <x:v>Ukraine</x:v>
      </x:c>
      <x:c r="H127" s="29"/>
      <x:c r="I127" s="29"/>
      <x:c r="J127" s="29" t="str">
        <x:v>—</x:v>
      </x:c>
      <x:c r="K127" s="29" t="str">
        <x:v>—</x:v>
      </x:c>
      <x:c r="L127" s="29" t="str">
        <x:v>To classify</x:v>
      </x:c>
      <x:c r="M127" s="29"/>
      <x:c r="N127" s="29"/>
      <x:c r="O127" s="29" t="str">
        <x:v>Unidentified</x:v>
      </x:c>
      <x:c r="P127" s="29" t="str">
        <x:v>None</x:v>
      </x:c>
      <x:c r="Q127" s="46" t="str">
        <x:v>No</x:v>
      </x:c>
      <x:c r="R127" s="29" t="str">
        <x:v>Member / participant</x:v>
      </x:c>
      <x:c r="S127" s="29" t="str">
        <x:v>Unqualified / research pending</x:v>
      </x:c>
      <x:c r="T127" s="29" t="str">
        <x:v>Identification pending</x:v>
      </x:c>
      <x:c r="U127" s="29" t="str">
        <x:v>Low</x:v>
      </x:c>
      <x:c r="V127" s="29" t="str">
        <x:v>No reliable commercial signal from the available data.</x:v>
      </x:c>
      <x:c r="W127" s="29" t="str">
        <x:v>Resolve identity and current role through a consensual group-admin or direct-message check before any outreach.</x:v>
      </x:c>
      <x:c r="X127" s="29" t="str">
        <x:v>Unassigned</x:v>
      </x:c>
      <x:c r="Y127" s="32" t="n">
        <x:v>46262</x:v>
      </x:c>
      <x:c r="Z127" s="29" t="str">
        <x:v>Not recorded — internal CRM only</x:v>
      </x:c>
      <x:c r="AA127" s="29" t="str">
        <x:v>Phone / closed-group source; human review required</x:v>
      </x:c>
      <x:c r="AB127" s="29" t="str">
        <x:v>Unqualified / research pending</x:v>
      </x:c>
      <x:c r="AC127" s="29" t="str"/>
      <x:c r="AD127" s="29" t="str">
        <x:f>E127&amp;" | "&amp;J127&amp;" | "&amp;K127&amp;" | "&amp;F127</x:f>
        <x:v>Unidentified number | — | — | ‎+380980027282</x:v>
      </x:c>
      <x:c r="AE127" s="31" t="n">
        <x:f>(IF(OR(O127="Confirmed",O127="Confirmed — phone matched"),2,IF(OR(O127="Self-identified",O127="Probable"),1,0))+IF(J127&lt;&gt;"—",1,0)+IF(K127&lt;&gt;"—",1,0)+IF(L127&lt;&gt;"To classify",1,0)+IF(OR(M127&lt;&gt;"",N127&lt;&gt;""),1,0)+IF(H127&lt;&gt;"",1,0)+IF(AB127&lt;&gt;"",1,0)+IF(X127&lt;&gt;"Unassigned",1,0))/9</x:f>
        <x:v>0.1111111111111111</x:v>
      </x:c>
    </x:row>
    <x:row r="128">
      <x:c r="A128" s="45" t="n">
        <x:v>124</x:v>
      </x:c>
      <x:c r="B128" s="29" t="str">
        <x:v>WhatsApp</x:v>
      </x:c>
      <x:c r="C128" s="29" t="str">
        <x:v>ISRM Ukraine</x:v>
      </x:c>
      <x:c r="D128" s="29" t="str">
        <x:v>+380 50 887 8346</x:v>
      </x:c>
      <x:c r="E128" s="29" t="str">
        <x:v>Unidentified number</x:v>
      </x:c>
      <x:c r="F128" s="29" t="str">
        <x:v>‎+380508878346</x:v>
      </x:c>
      <x:c r="G128" s="29" t="str">
        <x:v>Ukraine</x:v>
      </x:c>
      <x:c r="H128" s="29"/>
      <x:c r="I128" s="29"/>
      <x:c r="J128" s="29" t="str">
        <x:v>—</x:v>
      </x:c>
      <x:c r="K128" s="29" t="str">
        <x:v>—</x:v>
      </x:c>
      <x:c r="L128" s="29" t="str">
        <x:v>To classify</x:v>
      </x:c>
      <x:c r="M128" s="29"/>
      <x:c r="N128" s="29"/>
      <x:c r="O128" s="29" t="str">
        <x:v>Unidentified</x:v>
      </x:c>
      <x:c r="P128" s="29" t="str">
        <x:v>None</x:v>
      </x:c>
      <x:c r="Q128" s="46" t="str">
        <x:v>No</x:v>
      </x:c>
      <x:c r="R128" s="29" t="str">
        <x:v>Member / participant</x:v>
      </x:c>
      <x:c r="S128" s="29" t="str">
        <x:v>Unqualified / research pending</x:v>
      </x:c>
      <x:c r="T128" s="29" t="str">
        <x:v>Identification pending</x:v>
      </x:c>
      <x:c r="U128" s="29" t="str">
        <x:v>Low</x:v>
      </x:c>
      <x:c r="V128" s="29" t="str">
        <x:v>No reliable commercial signal from the available data.</x:v>
      </x:c>
      <x:c r="W128" s="29" t="str">
        <x:v>Resolve identity and current role through a consensual group-admin or direct-message check before any outreach.</x:v>
      </x:c>
      <x:c r="X128" s="29" t="str">
        <x:v>Unassigned</x:v>
      </x:c>
      <x:c r="Y128" s="32" t="n">
        <x:v>46262</x:v>
      </x:c>
      <x:c r="Z128" s="29" t="str">
        <x:v>Not recorded — internal CRM only</x:v>
      </x:c>
      <x:c r="AA128" s="29" t="str">
        <x:v>Phone / closed-group source; human review required</x:v>
      </x:c>
      <x:c r="AB128" s="29" t="str">
        <x:v>Unqualified / research pending</x:v>
      </x:c>
      <x:c r="AC128" s="29" t="str"/>
      <x:c r="AD128" s="29" t="str">
        <x:f>E128&amp;" | "&amp;J128&amp;" | "&amp;K128&amp;" | "&amp;F128</x:f>
        <x:v>Unidentified number | — | — | ‎+380508878346</x:v>
      </x:c>
      <x:c r="AE128" s="31" t="n">
        <x:f>(IF(OR(O128="Confirmed",O128="Confirmed — phone matched"),2,IF(OR(O128="Self-identified",O128="Probable"),1,0))+IF(J128&lt;&gt;"—",1,0)+IF(K128&lt;&gt;"—",1,0)+IF(L128&lt;&gt;"To classify",1,0)+IF(OR(M128&lt;&gt;"",N128&lt;&gt;""),1,0)+IF(H128&lt;&gt;"",1,0)+IF(AB128&lt;&gt;"",1,0)+IF(X128&lt;&gt;"Unassigned",1,0))/9</x:f>
        <x:v>0.1111111111111111</x:v>
      </x:c>
    </x:row>
    <x:row r="129">
      <x:c r="A129" s="45" t="n">
        <x:v>125</x:v>
      </x:c>
      <x:c r="B129" s="29" t="str">
        <x:v>WhatsApp</x:v>
      </x:c>
      <x:c r="C129" s="29" t="str">
        <x:v>ISRM Ukraine</x:v>
      </x:c>
      <x:c r="D129" s="29" t="str">
        <x:v>+380 93 788 4994</x:v>
      </x:c>
      <x:c r="E129" s="29" t="str">
        <x:v>Unidentified number</x:v>
      </x:c>
      <x:c r="F129" s="29" t="str">
        <x:v>‎+380937884994</x:v>
      </x:c>
      <x:c r="G129" s="29" t="str">
        <x:v>Ukraine</x:v>
      </x:c>
      <x:c r="H129" s="29"/>
      <x:c r="I129" s="29"/>
      <x:c r="J129" s="29" t="str">
        <x:v>—</x:v>
      </x:c>
      <x:c r="K129" s="29" t="str">
        <x:v>—</x:v>
      </x:c>
      <x:c r="L129" s="29" t="str">
        <x:v>To classify</x:v>
      </x:c>
      <x:c r="M129" s="29"/>
      <x:c r="N129" s="29"/>
      <x:c r="O129" s="29" t="str">
        <x:v>Unidentified</x:v>
      </x:c>
      <x:c r="P129" s="29" t="str">
        <x:v>None</x:v>
      </x:c>
      <x:c r="Q129" s="46" t="str">
        <x:v>No</x:v>
      </x:c>
      <x:c r="R129" s="29" t="str">
        <x:v>Member / participant</x:v>
      </x:c>
      <x:c r="S129" s="29" t="str">
        <x:v>Unqualified / research pending</x:v>
      </x:c>
      <x:c r="T129" s="29" t="str">
        <x:v>Identification pending</x:v>
      </x:c>
      <x:c r="U129" s="29" t="str">
        <x:v>Low</x:v>
      </x:c>
      <x:c r="V129" s="29" t="str">
        <x:v>No reliable commercial signal from the available data.</x:v>
      </x:c>
      <x:c r="W129" s="29" t="str">
        <x:v>Resolve identity and current role through a consensual group-admin or direct-message check before any outreach.</x:v>
      </x:c>
      <x:c r="X129" s="29" t="str">
        <x:v>Unassigned</x:v>
      </x:c>
      <x:c r="Y129" s="32" t="n">
        <x:v>46262</x:v>
      </x:c>
      <x:c r="Z129" s="29" t="str">
        <x:v>Not recorded — internal CRM only</x:v>
      </x:c>
      <x:c r="AA129" s="29" t="str">
        <x:v>Phone / closed-group source; human review required</x:v>
      </x:c>
      <x:c r="AB129" s="29" t="str">
        <x:v>Unqualified / research pending</x:v>
      </x:c>
      <x:c r="AC129" s="29" t="str"/>
      <x:c r="AD129" s="29" t="str">
        <x:f>E129&amp;" | "&amp;J129&amp;" | "&amp;K129&amp;" | "&amp;F129</x:f>
        <x:v>Unidentified number | — | — | ‎+380937884994</x:v>
      </x:c>
      <x:c r="AE129" s="31" t="n">
        <x:f>(IF(OR(O129="Confirmed",O129="Confirmed — phone matched"),2,IF(OR(O129="Self-identified",O129="Probable"),1,0))+IF(J129&lt;&gt;"—",1,0)+IF(K129&lt;&gt;"—",1,0)+IF(L129&lt;&gt;"To classify",1,0)+IF(OR(M129&lt;&gt;"",N129&lt;&gt;""),1,0)+IF(H129&lt;&gt;"",1,0)+IF(AB129&lt;&gt;"",1,0)+IF(X129&lt;&gt;"Unassigned",1,0))/9</x:f>
        <x:v>0.1111111111111111</x:v>
      </x:c>
    </x:row>
    <x:row r="130">
      <x:c r="A130" s="45" t="n">
        <x:v>126</x:v>
      </x:c>
      <x:c r="B130" s="29" t="str">
        <x:v>WhatsApp</x:v>
      </x:c>
      <x:c r="C130" s="29" t="str">
        <x:v>ISRM Ukraine</x:v>
      </x:c>
      <x:c r="D130" s="29" t="str">
        <x:v>+380 93 291 1754</x:v>
      </x:c>
      <x:c r="E130" s="29" t="str">
        <x:v>Unidentified number</x:v>
      </x:c>
      <x:c r="F130" s="29" t="str">
        <x:v>‎+380932911754</x:v>
      </x:c>
      <x:c r="G130" s="29" t="str">
        <x:v>Ukraine</x:v>
      </x:c>
      <x:c r="H130" s="29"/>
      <x:c r="I130" s="29"/>
      <x:c r="J130" s="29" t="str">
        <x:v>—</x:v>
      </x:c>
      <x:c r="K130" s="29" t="str">
        <x:v>—</x:v>
      </x:c>
      <x:c r="L130" s="29" t="str">
        <x:v>To classify</x:v>
      </x:c>
      <x:c r="M130" s="29"/>
      <x:c r="N130" s="29"/>
      <x:c r="O130" s="29" t="str">
        <x:v>Unidentified</x:v>
      </x:c>
      <x:c r="P130" s="29" t="str">
        <x:v>None</x:v>
      </x:c>
      <x:c r="Q130" s="46" t="str">
        <x:v>No</x:v>
      </x:c>
      <x:c r="R130" s="29" t="str">
        <x:v>Member / participant</x:v>
      </x:c>
      <x:c r="S130" s="29" t="str">
        <x:v>Unqualified / research pending</x:v>
      </x:c>
      <x:c r="T130" s="29" t="str">
        <x:v>Identification pending</x:v>
      </x:c>
      <x:c r="U130" s="29" t="str">
        <x:v>Low</x:v>
      </x:c>
      <x:c r="V130" s="29" t="str">
        <x:v>No reliable commercial signal from the available data.</x:v>
      </x:c>
      <x:c r="W130" s="29" t="str">
        <x:v>Resolve identity and current role through a consensual group-admin or direct-message check before any outreach.</x:v>
      </x:c>
      <x:c r="X130" s="29" t="str">
        <x:v>Unassigned</x:v>
      </x:c>
      <x:c r="Y130" s="32" t="n">
        <x:v>46262</x:v>
      </x:c>
      <x:c r="Z130" s="29" t="str">
        <x:v>Not recorded — internal CRM only</x:v>
      </x:c>
      <x:c r="AA130" s="29" t="str">
        <x:v>Phone / closed-group source; human review required</x:v>
      </x:c>
      <x:c r="AB130" s="29" t="str">
        <x:v>Unqualified / research pending</x:v>
      </x:c>
      <x:c r="AC130" s="29" t="str"/>
      <x:c r="AD130" s="29" t="str">
        <x:f>E130&amp;" | "&amp;J130&amp;" | "&amp;K130&amp;" | "&amp;F130</x:f>
        <x:v>Unidentified number | — | — | ‎+380932911754</x:v>
      </x:c>
      <x:c r="AE130" s="31" t="n">
        <x:f>(IF(OR(O130="Confirmed",O130="Confirmed — phone matched"),2,IF(OR(O130="Self-identified",O130="Probable"),1,0))+IF(J130&lt;&gt;"—",1,0)+IF(K130&lt;&gt;"—",1,0)+IF(L130&lt;&gt;"To classify",1,0)+IF(OR(M130&lt;&gt;"",N130&lt;&gt;""),1,0)+IF(H130&lt;&gt;"",1,0)+IF(AB130&lt;&gt;"",1,0)+IF(X130&lt;&gt;"Unassigned",1,0))/9</x:f>
        <x:v>0.1111111111111111</x:v>
      </x:c>
    </x:row>
    <x:row r="131">
      <x:c r="A131" s="45" t="n">
        <x:v>127</x:v>
      </x:c>
      <x:c r="B131" s="29" t="str">
        <x:v>WhatsApp</x:v>
      </x:c>
      <x:c r="C131" s="29" t="str">
        <x:v>ISRM Ukraine</x:v>
      </x:c>
      <x:c r="D131" s="29" t="str">
        <x:v>+380 50 447 2238</x:v>
      </x:c>
      <x:c r="E131" s="29" t="str">
        <x:v>Unidentified number</x:v>
      </x:c>
      <x:c r="F131" s="29" t="str">
        <x:v>‎+380504472238</x:v>
      </x:c>
      <x:c r="G131" s="29" t="str">
        <x:v>Ukraine</x:v>
      </x:c>
      <x:c r="H131" s="29"/>
      <x:c r="I131" s="29"/>
      <x:c r="J131" s="29" t="str">
        <x:v>—</x:v>
      </x:c>
      <x:c r="K131" s="29" t="str">
        <x:v>—</x:v>
      </x:c>
      <x:c r="L131" s="29" t="str">
        <x:v>To classify</x:v>
      </x:c>
      <x:c r="M131" s="29"/>
      <x:c r="N131" s="29"/>
      <x:c r="O131" s="29" t="str">
        <x:v>Unidentified</x:v>
      </x:c>
      <x:c r="P131" s="29" t="str">
        <x:v>None</x:v>
      </x:c>
      <x:c r="Q131" s="46" t="str">
        <x:v>No</x:v>
      </x:c>
      <x:c r="R131" s="29" t="str">
        <x:v>Member / participant</x:v>
      </x:c>
      <x:c r="S131" s="29" t="str">
        <x:v>Unqualified / research pending</x:v>
      </x:c>
      <x:c r="T131" s="29" t="str">
        <x:v>Identification pending</x:v>
      </x:c>
      <x:c r="U131" s="29" t="str">
        <x:v>Low</x:v>
      </x:c>
      <x:c r="V131" s="29" t="str">
        <x:v>No reliable commercial signal from the available data.</x:v>
      </x:c>
      <x:c r="W131" s="29" t="str">
        <x:v>Resolve identity and current role through a consensual group-admin or direct-message check before any outreach.</x:v>
      </x:c>
      <x:c r="X131" s="29" t="str">
        <x:v>Unassigned</x:v>
      </x:c>
      <x:c r="Y131" s="32" t="n">
        <x:v>46262</x:v>
      </x:c>
      <x:c r="Z131" s="29" t="str">
        <x:v>Not recorded — internal CRM only</x:v>
      </x:c>
      <x:c r="AA131" s="29" t="str">
        <x:v>Phone / closed-group source; human review required</x:v>
      </x:c>
      <x:c r="AB131" s="29" t="str">
        <x:v>Unqualified / research pending</x:v>
      </x:c>
      <x:c r="AC131" s="29" t="str"/>
      <x:c r="AD131" s="29" t="str">
        <x:f>E131&amp;" | "&amp;J131&amp;" | "&amp;K131&amp;" | "&amp;F131</x:f>
        <x:v>Unidentified number | — | — | ‎+380504472238</x:v>
      </x:c>
      <x:c r="AE131" s="31" t="n">
        <x:f>(IF(OR(O131="Confirmed",O131="Confirmed — phone matched"),2,IF(OR(O131="Self-identified",O131="Probable"),1,0))+IF(J131&lt;&gt;"—",1,0)+IF(K131&lt;&gt;"—",1,0)+IF(L131&lt;&gt;"To classify",1,0)+IF(OR(M131&lt;&gt;"",N131&lt;&gt;""),1,0)+IF(H131&lt;&gt;"",1,0)+IF(AB131&lt;&gt;"",1,0)+IF(X131&lt;&gt;"Unassigned",1,0))/9</x:f>
        <x:v>0.1111111111111111</x:v>
      </x:c>
    </x:row>
    <x:row r="132">
      <x:c r="A132" s="45" t="n">
        <x:v>128</x:v>
      </x:c>
      <x:c r="B132" s="29" t="str">
        <x:v>WhatsApp</x:v>
      </x:c>
      <x:c r="C132" s="29" t="str">
        <x:v>ISRM Ukraine</x:v>
      </x:c>
      <x:c r="D132" s="29" t="str">
        <x:v>+380 98 514 5452</x:v>
      </x:c>
      <x:c r="E132" s="29" t="str">
        <x:v>Unidentified number</x:v>
      </x:c>
      <x:c r="F132" s="29" t="str">
        <x:v>‎+380985145452</x:v>
      </x:c>
      <x:c r="G132" s="29" t="str">
        <x:v>Ukraine</x:v>
      </x:c>
      <x:c r="H132" s="29"/>
      <x:c r="I132" s="29"/>
      <x:c r="J132" s="29" t="str">
        <x:v>—</x:v>
      </x:c>
      <x:c r="K132" s="29" t="str">
        <x:v>—</x:v>
      </x:c>
      <x:c r="L132" s="29" t="str">
        <x:v>To classify</x:v>
      </x:c>
      <x:c r="M132" s="29"/>
      <x:c r="N132" s="29"/>
      <x:c r="O132" s="29" t="str">
        <x:v>Unidentified</x:v>
      </x:c>
      <x:c r="P132" s="29" t="str">
        <x:v>None</x:v>
      </x:c>
      <x:c r="Q132" s="46" t="str">
        <x:v>No</x:v>
      </x:c>
      <x:c r="R132" s="29" t="str">
        <x:v>Member / participant</x:v>
      </x:c>
      <x:c r="S132" s="29" t="str">
        <x:v>Unqualified / research pending</x:v>
      </x:c>
      <x:c r="T132" s="29" t="str">
        <x:v>Identification pending</x:v>
      </x:c>
      <x:c r="U132" s="29" t="str">
        <x:v>Low</x:v>
      </x:c>
      <x:c r="V132" s="29" t="str">
        <x:v>No reliable commercial signal from the available data.</x:v>
      </x:c>
      <x:c r="W132" s="29" t="str">
        <x:v>Resolve identity and current role through a consensual group-admin or direct-message check before any outreach.</x:v>
      </x:c>
      <x:c r="X132" s="29" t="str">
        <x:v>Unassigned</x:v>
      </x:c>
      <x:c r="Y132" s="32" t="n">
        <x:v>46262</x:v>
      </x:c>
      <x:c r="Z132" s="29" t="str">
        <x:v>Not recorded — internal CRM only</x:v>
      </x:c>
      <x:c r="AA132" s="29" t="str">
        <x:v>Phone / closed-group source; human review required</x:v>
      </x:c>
      <x:c r="AB132" s="29" t="str">
        <x:v>Unqualified / research pending</x:v>
      </x:c>
      <x:c r="AC132" s="29" t="str"/>
      <x:c r="AD132" s="29" t="str">
        <x:f>E132&amp;" | "&amp;J132&amp;" | "&amp;K132&amp;" | "&amp;F132</x:f>
        <x:v>Unidentified number | — | — | ‎+380985145452</x:v>
      </x:c>
      <x:c r="AE132" s="31" t="n">
        <x:f>(IF(OR(O132="Confirmed",O132="Confirmed — phone matched"),2,IF(OR(O132="Self-identified",O132="Probable"),1,0))+IF(J132&lt;&gt;"—",1,0)+IF(K132&lt;&gt;"—",1,0)+IF(L132&lt;&gt;"To classify",1,0)+IF(OR(M132&lt;&gt;"",N132&lt;&gt;""),1,0)+IF(H132&lt;&gt;"",1,0)+IF(AB132&lt;&gt;"",1,0)+IF(X132&lt;&gt;"Unassigned",1,0))/9</x:f>
        <x:v>0.1111111111111111</x:v>
      </x:c>
    </x:row>
    <x:row r="133">
      <x:c r="A133" s="45" t="n">
        <x:v>129</x:v>
      </x:c>
      <x:c r="B133" s="29" t="str">
        <x:v>WhatsApp</x:v>
      </x:c>
      <x:c r="C133" s="29" t="str">
        <x:v>ISRM Ukraine</x:v>
      </x:c>
      <x:c r="D133" s="29" t="str">
        <x:v>+380 66 073 9388</x:v>
      </x:c>
      <x:c r="E133" s="29" t="str">
        <x:v>Unidentified number</x:v>
      </x:c>
      <x:c r="F133" s="29" t="str">
        <x:v>‎+380660739388</x:v>
      </x:c>
      <x:c r="G133" s="29" t="str">
        <x:v>Ukraine</x:v>
      </x:c>
      <x:c r="H133" s="29"/>
      <x:c r="I133" s="29"/>
      <x:c r="J133" s="29" t="str">
        <x:v>—</x:v>
      </x:c>
      <x:c r="K133" s="29" t="str">
        <x:v>—</x:v>
      </x:c>
      <x:c r="L133" s="29" t="str">
        <x:v>To classify</x:v>
      </x:c>
      <x:c r="M133" s="29"/>
      <x:c r="N133" s="29"/>
      <x:c r="O133" s="29" t="str">
        <x:v>Unidentified</x:v>
      </x:c>
      <x:c r="P133" s="29" t="str">
        <x:v>None</x:v>
      </x:c>
      <x:c r="Q133" s="46" t="str">
        <x:v>No</x:v>
      </x:c>
      <x:c r="R133" s="29" t="str">
        <x:v>Member / participant</x:v>
      </x:c>
      <x:c r="S133" s="29" t="str">
        <x:v>Unqualified / research pending</x:v>
      </x:c>
      <x:c r="T133" s="29" t="str">
        <x:v>Identification pending</x:v>
      </x:c>
      <x:c r="U133" s="29" t="str">
        <x:v>Low</x:v>
      </x:c>
      <x:c r="V133" s="29" t="str">
        <x:v>No reliable commercial signal from the available data.</x:v>
      </x:c>
      <x:c r="W133" s="29" t="str">
        <x:v>Resolve identity and current role through a consensual group-admin or direct-message check before any outreach.</x:v>
      </x:c>
      <x:c r="X133" s="29" t="str">
        <x:v>Unassigned</x:v>
      </x:c>
      <x:c r="Y133" s="32" t="n">
        <x:v>46262</x:v>
      </x:c>
      <x:c r="Z133" s="29" t="str">
        <x:v>Not recorded — internal CRM only</x:v>
      </x:c>
      <x:c r="AA133" s="29" t="str">
        <x:v>Phone / closed-group source; human review required</x:v>
      </x:c>
      <x:c r="AB133" s="29" t="str">
        <x:v>Unqualified / research pending</x:v>
      </x:c>
      <x:c r="AC133" s="29" t="str"/>
      <x:c r="AD133" s="29" t="str">
        <x:f>E133&amp;" | "&amp;J133&amp;" | "&amp;K133&amp;" | "&amp;F133</x:f>
        <x:v>Unidentified number | — | — | ‎+380660739388</x:v>
      </x:c>
      <x:c r="AE133" s="31" t="n">
        <x:f>(IF(OR(O133="Confirmed",O133="Confirmed — phone matched"),2,IF(OR(O133="Self-identified",O133="Probable"),1,0))+IF(J133&lt;&gt;"—",1,0)+IF(K133&lt;&gt;"—",1,0)+IF(L133&lt;&gt;"To classify",1,0)+IF(OR(M133&lt;&gt;"",N133&lt;&gt;""),1,0)+IF(H133&lt;&gt;"",1,0)+IF(AB133&lt;&gt;"",1,0)+IF(X133&lt;&gt;"Unassigned",1,0))/9</x:f>
        <x:v>0.1111111111111111</x:v>
      </x:c>
    </x:row>
    <x:row r="134">
      <x:c r="A134" s="45" t="n">
        <x:v>130</x:v>
      </x:c>
      <x:c r="B134" s="29" t="str">
        <x:v>WhatsApp</x:v>
      </x:c>
      <x:c r="C134" s="29" t="str">
        <x:v>ISRM Ukraine</x:v>
      </x:c>
      <x:c r="D134" s="29" t="str">
        <x:v>+380 99 164 4898</x:v>
      </x:c>
      <x:c r="E134" s="29" t="str">
        <x:v>Unidentified number</x:v>
      </x:c>
      <x:c r="F134" s="29" t="str">
        <x:v>‎+380991644898</x:v>
      </x:c>
      <x:c r="G134" s="29" t="str">
        <x:v>Ukraine</x:v>
      </x:c>
      <x:c r="H134" s="29"/>
      <x:c r="I134" s="29"/>
      <x:c r="J134" s="29" t="str">
        <x:v>—</x:v>
      </x:c>
      <x:c r="K134" s="29" t="str">
        <x:v>—</x:v>
      </x:c>
      <x:c r="L134" s="29" t="str">
        <x:v>To classify</x:v>
      </x:c>
      <x:c r="M134" s="29"/>
      <x:c r="N134" s="29"/>
      <x:c r="O134" s="29" t="str">
        <x:v>Unidentified</x:v>
      </x:c>
      <x:c r="P134" s="29" t="str">
        <x:v>None</x:v>
      </x:c>
      <x:c r="Q134" s="46" t="str">
        <x:v>No</x:v>
      </x:c>
      <x:c r="R134" s="29" t="str">
        <x:v>Member / participant</x:v>
      </x:c>
      <x:c r="S134" s="29" t="str">
        <x:v>Unqualified / research pending</x:v>
      </x:c>
      <x:c r="T134" s="29" t="str">
        <x:v>Identification pending</x:v>
      </x:c>
      <x:c r="U134" s="29" t="str">
        <x:v>Low</x:v>
      </x:c>
      <x:c r="V134" s="29" t="str">
        <x:v>No reliable commercial signal from the available data.</x:v>
      </x:c>
      <x:c r="W134" s="29" t="str">
        <x:v>Resolve identity and current role through a consensual group-admin or direct-message check before any outreach.</x:v>
      </x:c>
      <x:c r="X134" s="29" t="str">
        <x:v>Unassigned</x:v>
      </x:c>
      <x:c r="Y134" s="32" t="n">
        <x:v>46262</x:v>
      </x:c>
      <x:c r="Z134" s="29" t="str">
        <x:v>Not recorded — internal CRM only</x:v>
      </x:c>
      <x:c r="AA134" s="29" t="str">
        <x:v>Phone / closed-group source; human review required</x:v>
      </x:c>
      <x:c r="AB134" s="29" t="str">
        <x:v>Unqualified / research pending</x:v>
      </x:c>
      <x:c r="AC134" s="29" t="str"/>
      <x:c r="AD134" s="29" t="str">
        <x:f>E134&amp;" | "&amp;J134&amp;" | "&amp;K134&amp;" | "&amp;F134</x:f>
        <x:v>Unidentified number | — | — | ‎+380991644898</x:v>
      </x:c>
      <x:c r="AE134" s="31" t="n">
        <x:f>(IF(OR(O134="Confirmed",O134="Confirmed — phone matched"),2,IF(OR(O134="Self-identified",O134="Probable"),1,0))+IF(J134&lt;&gt;"—",1,0)+IF(K134&lt;&gt;"—",1,0)+IF(L134&lt;&gt;"To classify",1,0)+IF(OR(M134&lt;&gt;"",N134&lt;&gt;""),1,0)+IF(H134&lt;&gt;"",1,0)+IF(AB134&lt;&gt;"",1,0)+IF(X134&lt;&gt;"Unassigned",1,0))/9</x:f>
        <x:v>0.1111111111111111</x:v>
      </x:c>
    </x:row>
    <x:row r="135">
      <x:c r="A135" s="45" t="n">
        <x:v>131</x:v>
      </x:c>
      <x:c r="B135" s="29" t="str">
        <x:v>WhatsApp</x:v>
      </x:c>
      <x:c r="C135" s="29" t="str">
        <x:v>ISRM Ukraine</x:v>
      </x:c>
      <x:c r="D135" s="29" t="str">
        <x:v>+380 93 035 5285</x:v>
      </x:c>
      <x:c r="E135" s="29" t="str">
        <x:v>Unidentified number</x:v>
      </x:c>
      <x:c r="F135" s="29" t="str">
        <x:v>‎+380930355285</x:v>
      </x:c>
      <x:c r="G135" s="29" t="str">
        <x:v>Ukraine</x:v>
      </x:c>
      <x:c r="H135" s="29"/>
      <x:c r="I135" s="29"/>
      <x:c r="J135" s="29" t="str">
        <x:v>—</x:v>
      </x:c>
      <x:c r="K135" s="29" t="str">
        <x:v>—</x:v>
      </x:c>
      <x:c r="L135" s="29" t="str">
        <x:v>To classify</x:v>
      </x:c>
      <x:c r="M135" s="29"/>
      <x:c r="N135" s="29"/>
      <x:c r="O135" s="29" t="str">
        <x:v>Unidentified</x:v>
      </x:c>
      <x:c r="P135" s="29" t="str">
        <x:v>None</x:v>
      </x:c>
      <x:c r="Q135" s="46" t="str">
        <x:v>Yes</x:v>
      </x:c>
      <x:c r="R135" s="29" t="str">
        <x:v>Group administrator / community organiser</x:v>
      </x:c>
      <x:c r="S135" s="29" t="str">
        <x:v>Unqualified / research pending</x:v>
      </x:c>
      <x:c r="T135" s="29" t="str">
        <x:v>Identification pending</x:v>
      </x:c>
      <x:c r="U135" s="29" t="str">
        <x:v>Low</x:v>
      </x:c>
      <x:c r="V135" s="29" t="str">
        <x:v>No reliable commercial signal from the available data.</x:v>
      </x:c>
      <x:c r="W135" s="29" t="str">
        <x:v>Resolve identity and current role through a consensual group-admin or direct-message check before any outreach.</x:v>
      </x:c>
      <x:c r="X135" s="29" t="str">
        <x:v>Unassigned</x:v>
      </x:c>
      <x:c r="Y135" s="32" t="n">
        <x:v>46262</x:v>
      </x:c>
      <x:c r="Z135" s="29" t="str">
        <x:v>Not recorded — internal CRM only</x:v>
      </x:c>
      <x:c r="AA135" s="29" t="str">
        <x:v>Phone / closed-group source; human review required</x:v>
      </x:c>
      <x:c r="AB135" s="29" t="str">
        <x:v>Unqualified / research pending</x:v>
      </x:c>
      <x:c r="AC135" s="29" t="str"/>
      <x:c r="AD135" s="29" t="str">
        <x:f>E135&amp;" | "&amp;J135&amp;" | "&amp;K135&amp;" | "&amp;F135</x:f>
        <x:v>Unidentified number | — | — | ‎+380930355285</x:v>
      </x:c>
      <x:c r="AE135" s="31" t="n">
        <x:f>(IF(OR(O135="Confirmed",O135="Confirmed — phone matched"),2,IF(OR(O135="Self-identified",O135="Probable"),1,0))+IF(J135&lt;&gt;"—",1,0)+IF(K135&lt;&gt;"—",1,0)+IF(L135&lt;&gt;"To classify",1,0)+IF(OR(M135&lt;&gt;"",N135&lt;&gt;""),1,0)+IF(H135&lt;&gt;"",1,0)+IF(AB135&lt;&gt;"",1,0)+IF(X135&lt;&gt;"Unassigned",1,0))/9</x:f>
        <x:v>0.1111111111111111</x:v>
      </x:c>
    </x:row>
    <x:row r="136">
      <x:c r="A136" s="45" t="n">
        <x:v>132</x:v>
      </x:c>
      <x:c r="B136" s="29" t="str">
        <x:v>WhatsApp</x:v>
      </x:c>
      <x:c r="C136" s="29" t="str">
        <x:v>ISRM Ukraine</x:v>
      </x:c>
      <x:c r="D136" s="29" t="str">
        <x:v>+380 66 634 4773</x:v>
      </x:c>
      <x:c r="E136" s="29" t="str">
        <x:v>Unidentified number</x:v>
      </x:c>
      <x:c r="F136" s="29" t="str">
        <x:v>‎+380666344773</x:v>
      </x:c>
      <x:c r="G136" s="29" t="str">
        <x:v>Ukraine</x:v>
      </x:c>
      <x:c r="H136" s="29"/>
      <x:c r="I136" s="29"/>
      <x:c r="J136" s="29" t="str">
        <x:v>—</x:v>
      </x:c>
      <x:c r="K136" s="29" t="str">
        <x:v>—</x:v>
      </x:c>
      <x:c r="L136" s="29" t="str">
        <x:v>To classify</x:v>
      </x:c>
      <x:c r="M136" s="29"/>
      <x:c r="N136" s="29"/>
      <x:c r="O136" s="29" t="str">
        <x:v>Unidentified</x:v>
      </x:c>
      <x:c r="P136" s="29" t="str">
        <x:v>None</x:v>
      </x:c>
      <x:c r="Q136" s="46" t="str">
        <x:v>No</x:v>
      </x:c>
      <x:c r="R136" s="29" t="str">
        <x:v>Member / participant</x:v>
      </x:c>
      <x:c r="S136" s="29" t="str">
        <x:v>Unqualified / research pending</x:v>
      </x:c>
      <x:c r="T136" s="29" t="str">
        <x:v>Identification pending</x:v>
      </x:c>
      <x:c r="U136" s="29" t="str">
        <x:v>Low</x:v>
      </x:c>
      <x:c r="V136" s="29" t="str">
        <x:v>No reliable commercial signal from the available data.</x:v>
      </x:c>
      <x:c r="W136" s="29" t="str">
        <x:v>Resolve identity and current role through a consensual group-admin or direct-message check before any outreach.</x:v>
      </x:c>
      <x:c r="X136" s="29" t="str">
        <x:v>Unassigned</x:v>
      </x:c>
      <x:c r="Y136" s="32" t="n">
        <x:v>46262</x:v>
      </x:c>
      <x:c r="Z136" s="29" t="str">
        <x:v>Not recorded — internal CRM only</x:v>
      </x:c>
      <x:c r="AA136" s="29" t="str">
        <x:v>Phone / closed-group source; human review required</x:v>
      </x:c>
      <x:c r="AB136" s="29" t="str">
        <x:v>Unqualified / research pending</x:v>
      </x:c>
      <x:c r="AC136" s="29" t="str"/>
      <x:c r="AD136" s="29" t="str">
        <x:f>E136&amp;" | "&amp;J136&amp;" | "&amp;K136&amp;" | "&amp;F136</x:f>
        <x:v>Unidentified number | — | — | ‎+380666344773</x:v>
      </x:c>
      <x:c r="AE136" s="31" t="n">
        <x:f>(IF(OR(O136="Confirmed",O136="Confirmed — phone matched"),2,IF(OR(O136="Self-identified",O136="Probable"),1,0))+IF(J136&lt;&gt;"—",1,0)+IF(K136&lt;&gt;"—",1,0)+IF(L136&lt;&gt;"To classify",1,0)+IF(OR(M136&lt;&gt;"",N136&lt;&gt;""),1,0)+IF(H136&lt;&gt;"",1,0)+IF(AB136&lt;&gt;"",1,0)+IF(X136&lt;&gt;"Unassigned",1,0))/9</x:f>
        <x:v>0.1111111111111111</x:v>
      </x:c>
    </x:row>
    <x:row r="137">
      <x:c r="A137" s="45" t="n">
        <x:v>133</x:v>
      </x:c>
      <x:c r="B137" s="29" t="str">
        <x:v>WhatsApp</x:v>
      </x:c>
      <x:c r="C137" s="29" t="str">
        <x:v>ISRM Ukraine</x:v>
      </x:c>
      <x:c r="D137" s="29" t="str">
        <x:v>+380 97 470 4600</x:v>
      </x:c>
      <x:c r="E137" s="29" t="str">
        <x:v>Unidentified number</x:v>
      </x:c>
      <x:c r="F137" s="29" t="str">
        <x:v>‎+380974704600</x:v>
      </x:c>
      <x:c r="G137" s="29" t="str">
        <x:v>Ukraine</x:v>
      </x:c>
      <x:c r="H137" s="29"/>
      <x:c r="I137" s="29"/>
      <x:c r="J137" s="29" t="str">
        <x:v>—</x:v>
      </x:c>
      <x:c r="K137" s="29" t="str">
        <x:v>—</x:v>
      </x:c>
      <x:c r="L137" s="29" t="str">
        <x:v>To classify</x:v>
      </x:c>
      <x:c r="M137" s="29"/>
      <x:c r="N137" s="29"/>
      <x:c r="O137" s="29" t="str">
        <x:v>Unidentified</x:v>
      </x:c>
      <x:c r="P137" s="29" t="str">
        <x:v>None</x:v>
      </x:c>
      <x:c r="Q137" s="46" t="str">
        <x:v>No</x:v>
      </x:c>
      <x:c r="R137" s="29" t="str">
        <x:v>Member / participant</x:v>
      </x:c>
      <x:c r="S137" s="29" t="str">
        <x:v>Unqualified / research pending</x:v>
      </x:c>
      <x:c r="T137" s="29" t="str">
        <x:v>Identification pending</x:v>
      </x:c>
      <x:c r="U137" s="29" t="str">
        <x:v>Low</x:v>
      </x:c>
      <x:c r="V137" s="29" t="str">
        <x:v>No reliable commercial signal from the available data.</x:v>
      </x:c>
      <x:c r="W137" s="29" t="str">
        <x:v>Resolve identity and current role through a consensual group-admin or direct-message check before any outreach.</x:v>
      </x:c>
      <x:c r="X137" s="29" t="str">
        <x:v>Unassigned</x:v>
      </x:c>
      <x:c r="Y137" s="32" t="n">
        <x:v>46262</x:v>
      </x:c>
      <x:c r="Z137" s="29" t="str">
        <x:v>Not recorded — internal CRM only</x:v>
      </x:c>
      <x:c r="AA137" s="29" t="str">
        <x:v>Phone / closed-group source; human review required</x:v>
      </x:c>
      <x:c r="AB137" s="29" t="str">
        <x:v>Unqualified / research pending</x:v>
      </x:c>
      <x:c r="AC137" s="29" t="str"/>
      <x:c r="AD137" s="29" t="str">
        <x:f>E137&amp;" | "&amp;J137&amp;" | "&amp;K137&amp;" | "&amp;F137</x:f>
        <x:v>Unidentified number | — | — | ‎+380974704600</x:v>
      </x:c>
      <x:c r="AE137" s="31" t="n">
        <x:f>(IF(OR(O137="Confirmed",O137="Confirmed — phone matched"),2,IF(OR(O137="Self-identified",O137="Probable"),1,0))+IF(J137&lt;&gt;"—",1,0)+IF(K137&lt;&gt;"—",1,0)+IF(L137&lt;&gt;"To classify",1,0)+IF(OR(M137&lt;&gt;"",N137&lt;&gt;""),1,0)+IF(H137&lt;&gt;"",1,0)+IF(AB137&lt;&gt;"",1,0)+IF(X137&lt;&gt;"Unassigned",1,0))/9</x:f>
        <x:v>0.1111111111111111</x:v>
      </x:c>
    </x:row>
    <x:row r="138">
      <x:c r="A138" s="45" t="n">
        <x:v>134</x:v>
      </x:c>
      <x:c r="B138" s="29" t="str">
        <x:v>WhatsApp</x:v>
      </x:c>
      <x:c r="C138" s="29" t="str">
        <x:v>ISRM Ukraine</x:v>
      </x:c>
      <x:c r="D138" s="29" t="str">
        <x:v>+380 98 799 7644</x:v>
      </x:c>
      <x:c r="E138" s="29" t="str">
        <x:v>Unidentified number</x:v>
      </x:c>
      <x:c r="F138" s="29" t="str">
        <x:v>‎+380987997644</x:v>
      </x:c>
      <x:c r="G138" s="29" t="str">
        <x:v>Ukraine</x:v>
      </x:c>
      <x:c r="H138" s="29"/>
      <x:c r="I138" s="29"/>
      <x:c r="J138" s="29" t="str">
        <x:v>—</x:v>
      </x:c>
      <x:c r="K138" s="29" t="str">
        <x:v>—</x:v>
      </x:c>
      <x:c r="L138" s="29" t="str">
        <x:v>To classify</x:v>
      </x:c>
      <x:c r="M138" s="29"/>
      <x:c r="N138" s="29"/>
      <x:c r="O138" s="29" t="str">
        <x:v>Unidentified</x:v>
      </x:c>
      <x:c r="P138" s="29" t="str">
        <x:v>None</x:v>
      </x:c>
      <x:c r="Q138" s="46" t="str">
        <x:v>No</x:v>
      </x:c>
      <x:c r="R138" s="29" t="str">
        <x:v>Member / participant</x:v>
      </x:c>
      <x:c r="S138" s="29" t="str">
        <x:v>Unqualified / research pending</x:v>
      </x:c>
      <x:c r="T138" s="29" t="str">
        <x:v>Identification pending</x:v>
      </x:c>
      <x:c r="U138" s="29" t="str">
        <x:v>Low</x:v>
      </x:c>
      <x:c r="V138" s="29" t="str">
        <x:v>No reliable commercial signal from the available data.</x:v>
      </x:c>
      <x:c r="W138" s="29" t="str">
        <x:v>Resolve identity and current role through a consensual group-admin or direct-message check before any outreach.</x:v>
      </x:c>
      <x:c r="X138" s="29" t="str">
        <x:v>Unassigned</x:v>
      </x:c>
      <x:c r="Y138" s="32" t="n">
        <x:v>46262</x:v>
      </x:c>
      <x:c r="Z138" s="29" t="str">
        <x:v>Not recorded — internal CRM only</x:v>
      </x:c>
      <x:c r="AA138" s="29" t="str">
        <x:v>Phone / closed-group source; human review required</x:v>
      </x:c>
      <x:c r="AB138" s="29" t="str">
        <x:v>Unqualified / research pending</x:v>
      </x:c>
      <x:c r="AC138" s="29" t="str"/>
      <x:c r="AD138" s="29" t="str">
        <x:f>E138&amp;" | "&amp;J138&amp;" | "&amp;K138&amp;" | "&amp;F138</x:f>
        <x:v>Unidentified number | — | — | ‎+380987997644</x:v>
      </x:c>
      <x:c r="AE138" s="31" t="n">
        <x:f>(IF(OR(O138="Confirmed",O138="Confirmed — phone matched"),2,IF(OR(O138="Self-identified",O138="Probable"),1,0))+IF(J138&lt;&gt;"—",1,0)+IF(K138&lt;&gt;"—",1,0)+IF(L138&lt;&gt;"To classify",1,0)+IF(OR(M138&lt;&gt;"",N138&lt;&gt;""),1,0)+IF(H138&lt;&gt;"",1,0)+IF(AB138&lt;&gt;"",1,0)+IF(X138&lt;&gt;"Unassigned",1,0))/9</x:f>
        <x:v>0.1111111111111111</x:v>
      </x:c>
    </x:row>
    <x:row r="139">
      <x:c r="A139" s="45" t="n">
        <x:v>135</x:v>
      </x:c>
      <x:c r="B139" s="29" t="str">
        <x:v>WhatsApp</x:v>
      </x:c>
      <x:c r="C139" s="29" t="str">
        <x:v>ISRM Ukraine</x:v>
      </x:c>
      <x:c r="D139" s="29" t="str">
        <x:v>+380 50 775 3541</x:v>
      </x:c>
      <x:c r="E139" s="29" t="str">
        <x:v>Unidentified number</x:v>
      </x:c>
      <x:c r="F139" s="29" t="str">
        <x:v>‎+380507753541</x:v>
      </x:c>
      <x:c r="G139" s="29" t="str">
        <x:v>Ukraine</x:v>
      </x:c>
      <x:c r="H139" s="29"/>
      <x:c r="I139" s="29"/>
      <x:c r="J139" s="29" t="str">
        <x:v>—</x:v>
      </x:c>
      <x:c r="K139" s="29" t="str">
        <x:v>—</x:v>
      </x:c>
      <x:c r="L139" s="29" t="str">
        <x:v>To classify</x:v>
      </x:c>
      <x:c r="M139" s="29"/>
      <x:c r="N139" s="29"/>
      <x:c r="O139" s="29" t="str">
        <x:v>Unidentified</x:v>
      </x:c>
      <x:c r="P139" s="29" t="str">
        <x:v>None</x:v>
      </x:c>
      <x:c r="Q139" s="46" t="str">
        <x:v>No</x:v>
      </x:c>
      <x:c r="R139" s="29" t="str">
        <x:v>Member / participant</x:v>
      </x:c>
      <x:c r="S139" s="29" t="str">
        <x:v>Unqualified / research pending</x:v>
      </x:c>
      <x:c r="T139" s="29" t="str">
        <x:v>Identification pending</x:v>
      </x:c>
      <x:c r="U139" s="29" t="str">
        <x:v>Low</x:v>
      </x:c>
      <x:c r="V139" s="29" t="str">
        <x:v>No reliable commercial signal from the available data.</x:v>
      </x:c>
      <x:c r="W139" s="29" t="str">
        <x:v>Resolve identity and current role through a consensual group-admin or direct-message check before any outreach.</x:v>
      </x:c>
      <x:c r="X139" s="29" t="str">
        <x:v>Unassigned</x:v>
      </x:c>
      <x:c r="Y139" s="32" t="n">
        <x:v>46262</x:v>
      </x:c>
      <x:c r="Z139" s="29" t="str">
        <x:v>Not recorded — internal CRM only</x:v>
      </x:c>
      <x:c r="AA139" s="29" t="str">
        <x:v>Phone / closed-group source; human review required</x:v>
      </x:c>
      <x:c r="AB139" s="29" t="str">
        <x:v>Unqualified / research pending</x:v>
      </x:c>
      <x:c r="AC139" s="29" t="str"/>
      <x:c r="AD139" s="29" t="str">
        <x:f>E139&amp;" | "&amp;J139&amp;" | "&amp;K139&amp;" | "&amp;F139</x:f>
        <x:v>Unidentified number | — | — | ‎+380507753541</x:v>
      </x:c>
      <x:c r="AE139" s="31" t="n">
        <x:f>(IF(OR(O139="Confirmed",O139="Confirmed — phone matched"),2,IF(OR(O139="Self-identified",O139="Probable"),1,0))+IF(J139&lt;&gt;"—",1,0)+IF(K139&lt;&gt;"—",1,0)+IF(L139&lt;&gt;"To classify",1,0)+IF(OR(M139&lt;&gt;"",N139&lt;&gt;""),1,0)+IF(H139&lt;&gt;"",1,0)+IF(AB139&lt;&gt;"",1,0)+IF(X139&lt;&gt;"Unassigned",1,0))/9</x:f>
        <x:v>0.1111111111111111</x:v>
      </x:c>
    </x:row>
    <x:row r="140">
      <x:c r="A140" s="45" t="n">
        <x:v>136</x:v>
      </x:c>
      <x:c r="B140" s="29" t="str">
        <x:v>WhatsApp</x:v>
      </x:c>
      <x:c r="C140" s="29" t="str">
        <x:v>ISRM Ukraine</x:v>
      </x:c>
      <x:c r="D140" s="29" t="str">
        <x:v>+380 50 959 6695</x:v>
      </x:c>
      <x:c r="E140" s="29" t="str">
        <x:v>Unidentified number</x:v>
      </x:c>
      <x:c r="F140" s="29" t="str">
        <x:v>‎+380509596695</x:v>
      </x:c>
      <x:c r="G140" s="29" t="str">
        <x:v>Ukraine</x:v>
      </x:c>
      <x:c r="H140" s="29"/>
      <x:c r="I140" s="29"/>
      <x:c r="J140" s="29" t="str">
        <x:v>—</x:v>
      </x:c>
      <x:c r="K140" s="29" t="str">
        <x:v>—</x:v>
      </x:c>
      <x:c r="L140" s="29" t="str">
        <x:v>To classify</x:v>
      </x:c>
      <x:c r="M140" s="29"/>
      <x:c r="N140" s="29"/>
      <x:c r="O140" s="29" t="str">
        <x:v>Unidentified</x:v>
      </x:c>
      <x:c r="P140" s="29" t="str">
        <x:v>None</x:v>
      </x:c>
      <x:c r="Q140" s="46" t="str">
        <x:v>No</x:v>
      </x:c>
      <x:c r="R140" s="29" t="str">
        <x:v>Member / participant</x:v>
      </x:c>
      <x:c r="S140" s="29" t="str">
        <x:v>Unqualified / research pending</x:v>
      </x:c>
      <x:c r="T140" s="29" t="str">
        <x:v>Identification pending</x:v>
      </x:c>
      <x:c r="U140" s="29" t="str">
        <x:v>Low</x:v>
      </x:c>
      <x:c r="V140" s="29" t="str">
        <x:v>No reliable commercial signal from the available data.</x:v>
      </x:c>
      <x:c r="W140" s="29" t="str">
        <x:v>Resolve identity and current role through a consensual group-admin or direct-message check before any outreach.</x:v>
      </x:c>
      <x:c r="X140" s="29" t="str">
        <x:v>Unassigned</x:v>
      </x:c>
      <x:c r="Y140" s="32" t="n">
        <x:v>46262</x:v>
      </x:c>
      <x:c r="Z140" s="29" t="str">
        <x:v>Not recorded — internal CRM only</x:v>
      </x:c>
      <x:c r="AA140" s="29" t="str">
        <x:v>Phone / closed-group source; human review required</x:v>
      </x:c>
      <x:c r="AB140" s="29" t="str">
        <x:v>Unqualified / research pending</x:v>
      </x:c>
      <x:c r="AC140" s="29" t="str"/>
      <x:c r="AD140" s="29" t="str">
        <x:f>E140&amp;" | "&amp;J140&amp;" | "&amp;K140&amp;" | "&amp;F140</x:f>
        <x:v>Unidentified number | — | — | ‎+380509596695</x:v>
      </x:c>
      <x:c r="AE140" s="31" t="n">
        <x:f>(IF(OR(O140="Confirmed",O140="Confirmed — phone matched"),2,IF(OR(O140="Self-identified",O140="Probable"),1,0))+IF(J140&lt;&gt;"—",1,0)+IF(K140&lt;&gt;"—",1,0)+IF(L140&lt;&gt;"To classify",1,0)+IF(OR(M140&lt;&gt;"",N140&lt;&gt;""),1,0)+IF(H140&lt;&gt;"",1,0)+IF(AB140&lt;&gt;"",1,0)+IF(X140&lt;&gt;"Unassigned",1,0))/9</x:f>
        <x:v>0.1111111111111111</x:v>
      </x:c>
    </x:row>
    <x:row r="141">
      <x:c r="A141" s="45" t="n">
        <x:v>137</x:v>
      </x:c>
      <x:c r="B141" s="29" t="str">
        <x:v>WhatsApp</x:v>
      </x:c>
      <x:c r="C141" s="29" t="str">
        <x:v>ISRM Ukraine</x:v>
      </x:c>
      <x:c r="D141" s="29" t="str">
        <x:v>+380 93 568 1317</x:v>
      </x:c>
      <x:c r="E141" s="29" t="str">
        <x:v>Unidentified number</x:v>
      </x:c>
      <x:c r="F141" s="29" t="str">
        <x:v>‎+380935681317</x:v>
      </x:c>
      <x:c r="G141" s="29" t="str">
        <x:v>Ukraine</x:v>
      </x:c>
      <x:c r="H141" s="29"/>
      <x:c r="I141" s="29"/>
      <x:c r="J141" s="29" t="str">
        <x:v>—</x:v>
      </x:c>
      <x:c r="K141" s="29" t="str">
        <x:v>—</x:v>
      </x:c>
      <x:c r="L141" s="29" t="str">
        <x:v>To classify</x:v>
      </x:c>
      <x:c r="M141" s="29"/>
      <x:c r="N141" s="29"/>
      <x:c r="O141" s="29" t="str">
        <x:v>Unidentified</x:v>
      </x:c>
      <x:c r="P141" s="29" t="str">
        <x:v>None</x:v>
      </x:c>
      <x:c r="Q141" s="46" t="str">
        <x:v>No</x:v>
      </x:c>
      <x:c r="R141" s="29" t="str">
        <x:v>Member / participant</x:v>
      </x:c>
      <x:c r="S141" s="29" t="str">
        <x:v>Unqualified / research pending</x:v>
      </x:c>
      <x:c r="T141" s="29" t="str">
        <x:v>Identification pending</x:v>
      </x:c>
      <x:c r="U141" s="29" t="str">
        <x:v>Low</x:v>
      </x:c>
      <x:c r="V141" s="29" t="str">
        <x:v>No reliable commercial signal from the available data.</x:v>
      </x:c>
      <x:c r="W141" s="29" t="str">
        <x:v>Resolve identity and current role through a consensual group-admin or direct-message check before any outreach.</x:v>
      </x:c>
      <x:c r="X141" s="29" t="str">
        <x:v>Unassigned</x:v>
      </x:c>
      <x:c r="Y141" s="32" t="n">
        <x:v>46262</x:v>
      </x:c>
      <x:c r="Z141" s="29" t="str">
        <x:v>Not recorded — internal CRM only</x:v>
      </x:c>
      <x:c r="AA141" s="29" t="str">
        <x:v>Phone / closed-group source; human review required</x:v>
      </x:c>
      <x:c r="AB141" s="29" t="str">
        <x:v>Unqualified / research pending</x:v>
      </x:c>
      <x:c r="AC141" s="29" t="str"/>
      <x:c r="AD141" s="29" t="str">
        <x:f>E141&amp;" | "&amp;J141&amp;" | "&amp;K141&amp;" | "&amp;F141</x:f>
        <x:v>Unidentified number | — | — | ‎+380935681317</x:v>
      </x:c>
      <x:c r="AE141" s="31" t="n">
        <x:f>(IF(OR(O141="Confirmed",O141="Confirmed — phone matched"),2,IF(OR(O141="Self-identified",O141="Probable"),1,0))+IF(J141&lt;&gt;"—",1,0)+IF(K141&lt;&gt;"—",1,0)+IF(L141&lt;&gt;"To classify",1,0)+IF(OR(M141&lt;&gt;"",N141&lt;&gt;""),1,0)+IF(H141&lt;&gt;"",1,0)+IF(AB141&lt;&gt;"",1,0)+IF(X141&lt;&gt;"Unassigned",1,0))/9</x:f>
        <x:v>0.1111111111111111</x:v>
      </x:c>
    </x:row>
    <x:row r="142">
      <x:c r="A142" s="45" t="n">
        <x:v>138</x:v>
      </x:c>
      <x:c r="B142" s="29" t="str">
        <x:v>WhatsApp</x:v>
      </x:c>
      <x:c r="C142" s="29" t="str">
        <x:v>ISRM Ukraine</x:v>
      </x:c>
      <x:c r="D142" s="29" t="str">
        <x:v>Anastasia</x:v>
      </x:c>
      <x:c r="E142" s="29" t="str">
        <x:v>Anastasia (surname unknown)</x:v>
      </x:c>
      <x:c r="F142" s="29" t="str">
        <x:v>‎+380984014020</x:v>
      </x:c>
      <x:c r="G142" s="29" t="str">
        <x:v>Ukraine</x:v>
      </x:c>
      <x:c r="H142" s="29"/>
      <x:c r="I142" s="29"/>
      <x:c r="J142" s="29" t="str">
        <x:v>—</x:v>
      </x:c>
      <x:c r="K142" s="29" t="str">
        <x:v>—</x:v>
      </x:c>
      <x:c r="L142" s="29" t="str">
        <x:v>To classify</x:v>
      </x:c>
      <x:c r="M142" s="29"/>
      <x:c r="N142" s="29"/>
      <x:c r="O142" s="29" t="str">
        <x:v>Partial</x:v>
      </x:c>
      <x:c r="P142" s="29" t="str">
        <x:v>Low</x:v>
      </x:c>
      <x:c r="Q142" s="46" t="str">
        <x:v>No</x:v>
      </x:c>
      <x:c r="R142" s="29" t="str">
        <x:v>Member / participant</x:v>
      </x:c>
      <x:c r="S142" s="29" t="str">
        <x:v>Unqualified / research pending</x:v>
      </x:c>
      <x:c r="T142" s="29" t="str">
        <x:v>Identity completion pending</x:v>
      </x:c>
      <x:c r="U142" s="29" t="str">
        <x:v>Low</x:v>
      </x:c>
      <x:c r="V142" s="29" t="str">
        <x:v>No reliable commercial signal from the available data.</x:v>
      </x:c>
      <x:c r="W142" s="29" t="str">
        <x:v>Resolve identity and current role through a consensual group-admin or direct-message check before any outreach.</x:v>
      </x:c>
      <x:c r="X142" s="29" t="str">
        <x:v>Unassigned</x:v>
      </x:c>
      <x:c r="Y142" s="32" t="n">
        <x:v>46262</x:v>
      </x:c>
      <x:c r="Z142" s="29" t="str">
        <x:v>Not recorded — internal CRM only</x:v>
      </x:c>
      <x:c r="AA142" s="29" t="str">
        <x:v>Phone / closed-group source; human review required</x:v>
      </x:c>
      <x:c r="AB142" s="29" t="str">
        <x:v>Unqualified / research pending</x:v>
      </x:c>
      <x:c r="AC142" s="29" t="str"/>
      <x:c r="AD142" s="29" t="str">
        <x:f>E142&amp;" | "&amp;J142&amp;" | "&amp;K142&amp;" | "&amp;F142</x:f>
        <x:v>Anastasia (surname unknown) | — | — | ‎+380984014020</x:v>
      </x:c>
      <x:c r="AE142" s="31" t="n">
        <x:f>(IF(OR(O142="Confirmed",O142="Confirmed — phone matched"),2,IF(OR(O142="Self-identified",O142="Probable"),1,0))+IF(J142&lt;&gt;"—",1,0)+IF(K142&lt;&gt;"—",1,0)+IF(L142&lt;&gt;"To classify",1,0)+IF(OR(M142&lt;&gt;"",N142&lt;&gt;""),1,0)+IF(H142&lt;&gt;"",1,0)+IF(AB142&lt;&gt;"",1,0)+IF(X142&lt;&gt;"Unassigned",1,0))/9</x:f>
        <x:v>0.1111111111111111</x:v>
      </x:c>
    </x:row>
    <x:row r="143">
      <x:c r="A143" s="45" t="n">
        <x:v>139</x:v>
      </x:c>
      <x:c r="B143" s="29" t="str">
        <x:v>WhatsApp</x:v>
      </x:c>
      <x:c r="C143" s="29" t="str">
        <x:v>ISRM Ukraine</x:v>
      </x:c>
      <x:c r="D143" s="29" t="str">
        <x:v>Anastasiya M</x:v>
      </x:c>
      <x:c r="E143" s="29" t="str">
        <x:v>Anastasiya Marchuk</x:v>
      </x:c>
      <x:c r="F143" s="29" t="str">
        <x:v>‎+380668604874</x:v>
      </x:c>
      <x:c r="G143" s="29" t="str">
        <x:v>Ukraine</x:v>
      </x:c>
      <x:c r="H143" s="29"/>
      <x:c r="I143" s="29"/>
      <x:c r="J143" s="29" t="str">
        <x:v>Nonviolent Peaceforce Ukraine</x:v>
      </x:c>
      <x:c r="K143" s="29" t="str">
        <x:v>Head of Mission</x:v>
      </x:c>
      <x:c r="L143" s="29" t="str">
        <x:v>To classify</x:v>
      </x:c>
      <x:c r="M143" s="29"/>
      <x:c r="N143" s="29" t="str">
        <x:v>https://nonviolentpeaceforce.org/ukraine/</x:v>
      </x:c>
      <x:c r="O143" s="29" t="str">
        <x:v>Confirmed</x:v>
      </x:c>
      <x:c r="P143" s="29" t="str">
        <x:v>High</x:v>
      </x:c>
      <x:c r="Q143" s="46" t="str">
        <x:v>No</x:v>
      </x:c>
      <x:c r="R143" s="29" t="str">
        <x:v>Member / participant</x:v>
      </x:c>
      <x:c r="S143" s="29" t="str">
        <x:v>Potential client</x:v>
      </x:c>
      <x:c r="T143" s="29" t="str">
        <x:v>Verified profile</x:v>
      </x:c>
      <x:c r="U143" s="29" t="str">
        <x:v>High</x:v>
      </x:c>
      <x:c r="V143" s="29" t="str">
        <x:v>Country leader with decision authority across NGO operations and compliance.</x:v>
      </x:c>
      <x:c r="W143" s="29" t="str">
        <x:v>Priority warm outreach on NGO legal, employment, grants and duty-of-care support.</x:v>
      </x:c>
      <x:c r="X143" s="29" t="str">
        <x:v>Unassigned</x:v>
      </x:c>
      <x:c r="Y143" s="32" t="n">
        <x:v>46262</x:v>
      </x:c>
      <x:c r="Z143" s="29" t="str">
        <x:v>Not recorded — internal CRM only</x:v>
      </x:c>
      <x:c r="AA143" s="29" t="str">
        <x:v>Phone / closed-group source; human review required</x:v>
      </x:c>
      <x:c r="AB143" s="29" t="str">
        <x:v>Potential client</x:v>
      </x:c>
      <x:c r="AC143" s="29" t="str">
        <x:v>Anastasiya Marchuk, HoM NP</x:v>
      </x:c>
      <x:c r="AD143" s="29" t="str">
        <x:f>E143&amp;" | "&amp;J143&amp;" | "&amp;K143&amp;" | "&amp;F143</x:f>
        <x:v>Anastasiya Marchuk | Nonviolent Peaceforce Ukraine | Head of Mission | ‎+380668604874</x:v>
      </x:c>
      <x:c r="AE143" s="31" t="n">
        <x:f>(IF(OR(O143="Confirmed",O143="Confirmed — phone matched"),2,IF(OR(O143="Self-identified",O143="Probable"),1,0))+IF(J143&lt;&gt;"—",1,0)+IF(K143&lt;&gt;"—",1,0)+IF(L143&lt;&gt;"To classify",1,0)+IF(OR(M143&lt;&gt;"",N143&lt;&gt;""),1,0)+IF(H143&lt;&gt;"",1,0)+IF(AB143&lt;&gt;"",1,0)+IF(X143&lt;&gt;"Unassigned",1,0))/9</x:f>
        <x:v>0.6666666666666666</x:v>
      </x:c>
    </x:row>
    <x:row r="144">
      <x:c r="A144" s="45" t="n">
        <x:v>140</x:v>
      </x:c>
      <x:c r="B144" s="29" t="str">
        <x:v>WhatsApp</x:v>
      </x:c>
      <x:c r="C144" s="29" t="str">
        <x:v>ISRM Ukraine</x:v>
      </x:c>
      <x:c r="D144" s="29" t="str">
        <x:v>Anatolii</x:v>
      </x:c>
      <x:c r="E144" s="29" t="str">
        <x:v>Anatolii (surname unknown)</x:v>
      </x:c>
      <x:c r="F144" s="29" t="str">
        <x:v>‎+380503322791</x:v>
      </x:c>
      <x:c r="G144" s="29" t="str">
        <x:v>Ukraine</x:v>
      </x:c>
      <x:c r="H144" s="29"/>
      <x:c r="I144" s="29"/>
      <x:c r="J144" s="29" t="str">
        <x:v>—</x:v>
      </x:c>
      <x:c r="K144" s="29" t="str">
        <x:v>—</x:v>
      </x:c>
      <x:c r="L144" s="29" t="str">
        <x:v>To classify</x:v>
      </x:c>
      <x:c r="M144" s="29"/>
      <x:c r="N144" s="29"/>
      <x:c r="O144" s="29" t="str">
        <x:v>Partial</x:v>
      </x:c>
      <x:c r="P144" s="29" t="str">
        <x:v>Low</x:v>
      </x:c>
      <x:c r="Q144" s="46" t="str">
        <x:v>No</x:v>
      </x:c>
      <x:c r="R144" s="29" t="str">
        <x:v>Member / participant</x:v>
      </x:c>
      <x:c r="S144" s="29" t="str">
        <x:v>Unqualified / research pending</x:v>
      </x:c>
      <x:c r="T144" s="29" t="str">
        <x:v>Identity completion pending</x:v>
      </x:c>
      <x:c r="U144" s="29" t="str">
        <x:v>Low</x:v>
      </x:c>
      <x:c r="V144" s="29" t="str">
        <x:v>No reliable commercial signal from the available data.</x:v>
      </x:c>
      <x:c r="W144" s="29" t="str">
        <x:v>Resolve identity and current role through a consensual group-admin or direct-message check before any outreach.</x:v>
      </x:c>
      <x:c r="X144" s="29" t="str">
        <x:v>Unassigned</x:v>
      </x:c>
      <x:c r="Y144" s="32" t="n">
        <x:v>46262</x:v>
      </x:c>
      <x:c r="Z144" s="29" t="str">
        <x:v>Not recorded — internal CRM only</x:v>
      </x:c>
      <x:c r="AA144" s="29" t="str">
        <x:v>Phone / closed-group source; human review required</x:v>
      </x:c>
      <x:c r="AB144" s="29" t="str">
        <x:v>Unqualified / research pending</x:v>
      </x:c>
      <x:c r="AC144" s="29" t="str"/>
      <x:c r="AD144" s="29" t="str">
        <x:f>E144&amp;" | "&amp;J144&amp;" | "&amp;K144&amp;" | "&amp;F144</x:f>
        <x:v>Anatolii (surname unknown) | — | — | ‎+380503322791</x:v>
      </x:c>
      <x:c r="AE144" s="31" t="n">
        <x:f>(IF(OR(O144="Confirmed",O144="Confirmed — phone matched"),2,IF(OR(O144="Self-identified",O144="Probable"),1,0))+IF(J144&lt;&gt;"—",1,0)+IF(K144&lt;&gt;"—",1,0)+IF(L144&lt;&gt;"To classify",1,0)+IF(OR(M144&lt;&gt;"",N144&lt;&gt;""),1,0)+IF(H144&lt;&gt;"",1,0)+IF(AB144&lt;&gt;"",1,0)+IF(X144&lt;&gt;"Unassigned",1,0))/9</x:f>
        <x:v>0.1111111111111111</x:v>
      </x:c>
    </x:row>
    <x:row r="145">
      <x:c r="A145" s="45" t="n">
        <x:v>141</x:v>
      </x:c>
      <x:c r="B145" s="29" t="str">
        <x:v>WhatsApp</x:v>
      </x:c>
      <x:c r="C145" s="29" t="str">
        <x:v>ISRM Ukraine</x:v>
      </x:c>
      <x:c r="D145" s="29" t="str">
        <x:v>Andrii Lukashenko</x:v>
      </x:c>
      <x:c r="E145" s="29" t="str">
        <x:v>Andrii Lukashenko</x:v>
      </x:c>
      <x:c r="F145" s="29" t="str">
        <x:v>‎+380674082403</x:v>
      </x:c>
      <x:c r="G145" s="29" t="str">
        <x:v>Ukraine</x:v>
      </x:c>
      <x:c r="H145" s="29"/>
      <x:c r="I145" s="29"/>
      <x:c r="J145" s="29" t="str">
        <x:v>SmartRiskSolutions Ukraine / ISRM Ukraine</x:v>
      </x:c>
      <x:c r="K145" s="29" t="str">
        <x:v>Founder and Deputy Director; Chapter Vice-Chair</x:v>
      </x:c>
      <x:c r="L145" s="29" t="str">
        <x:v>Security / risk / resilience</x:v>
      </x:c>
      <x:c r="M145" s="29"/>
      <x:c r="N145" s="29" t="str">
        <x:v>https://www.theisrm.org/isrm-announces-ukraine-chapter/</x:v>
      </x:c>
      <x:c r="O145" s="29" t="str">
        <x:v>Confirmed</x:v>
      </x:c>
      <x:c r="P145" s="29" t="str">
        <x:v>High</x:v>
      </x:c>
      <x:c r="Q145" s="46" t="str">
        <x:v>Yes</x:v>
      </x:c>
      <x:c r="R145" s="29" t="str">
        <x:v>Group administrator / community organiser</x:v>
      </x:c>
      <x:c r="S145" s="29" t="str">
        <x:v>Potential partner / referral</x:v>
      </x:c>
      <x:c r="T145" s="29" t="str">
        <x:v>Verified profile</x:v>
      </x:c>
      <x:c r="U145" s="29" t="str">
        <x:v>High</x:v>
      </x:c>
      <x:c r="V145" s="29" t="str">
        <x:v>Core chapter operator and security-sector partner; strong route to referrals.</x:v>
      </x:c>
      <x:c r="W145" s="29" t="str">
        <x:v>Coordinate validation of the register and a structured F&amp;P–ISRM partnership.</x:v>
      </x:c>
      <x:c r="X145" s="29" t="str">
        <x:v>Unassigned</x:v>
      </x:c>
      <x:c r="Y145" s="32" t="n">
        <x:v>46262</x:v>
      </x:c>
      <x:c r="Z145" s="29" t="str">
        <x:v>Not recorded — internal CRM only</x:v>
      </x:c>
      <x:c r="AA145" s="29" t="str">
        <x:v>Phone / closed-group source; human review required</x:v>
      </x:c>
      <x:c r="AB145" s="29" t="str">
        <x:v>Security / risk / resilience; Security, strategic risk and crisis management; Potential partner / referral</x:v>
      </x:c>
      <x:c r="AC145" s="29" t="str">
        <x:v>Andrii Lukashenko, SRS UA</x:v>
      </x:c>
      <x:c r="AD145" s="29" t="str">
        <x:f>E145&amp;" | "&amp;J145&amp;" | "&amp;K145&amp;" | "&amp;F145</x:f>
        <x:v>Andrii Lukashenko | SmartRiskSolutions Ukraine / ISRM Ukraine | Founder and Deputy Director; Chapter Vice-Chair | ‎+380674082403</x:v>
      </x:c>
      <x:c r="AE145" s="31" t="n">
        <x:f>(IF(OR(O145="Confirmed",O145="Confirmed — phone matched"),2,IF(OR(O145="Self-identified",O145="Probable"),1,0))+IF(J145&lt;&gt;"—",1,0)+IF(K145&lt;&gt;"—",1,0)+IF(L145&lt;&gt;"To classify",1,0)+IF(OR(M145&lt;&gt;"",N145&lt;&gt;""),1,0)+IF(H145&lt;&gt;"",1,0)+IF(AB145&lt;&gt;"",1,0)+IF(X145&lt;&gt;"Unassigned",1,0))/9</x:f>
        <x:v>0.7777777777777778</x:v>
      </x:c>
    </x:row>
    <x:row r="146">
      <x:c r="A146" s="45" t="n">
        <x:v>142</x:v>
      </x:c>
      <x:c r="B146" s="29" t="str">
        <x:v>WhatsApp</x:v>
      </x:c>
      <x:c r="C146" s="29" t="str">
        <x:v>ISRM Ukraine</x:v>
      </x:c>
      <x:c r="D146" s="29" t="str">
        <x:v>Andrii S</x:v>
      </x:c>
      <x:c r="E146" s="29" t="str">
        <x:v>Andrii S (surname unresolved)</x:v>
      </x:c>
      <x:c r="F146" s="29" t="str">
        <x:v>‎+380982519869</x:v>
      </x:c>
      <x:c r="G146" s="29" t="str">
        <x:v>Ukraine</x:v>
      </x:c>
      <x:c r="H146" s="29"/>
      <x:c r="I146" s="29"/>
      <x:c r="J146" s="29" t="str">
        <x:v>—</x:v>
      </x:c>
      <x:c r="K146" s="29" t="str">
        <x:v>—</x:v>
      </x:c>
      <x:c r="L146" s="29" t="str">
        <x:v>To classify</x:v>
      </x:c>
      <x:c r="M146" s="29"/>
      <x:c r="N146" s="29"/>
      <x:c r="O146" s="29" t="str">
        <x:v>Self-identified</x:v>
      </x:c>
      <x:c r="P146" s="29" t="str">
        <x:v>Medium</x:v>
      </x:c>
      <x:c r="Q146" s="46" t="str">
        <x:v>No</x:v>
      </x:c>
      <x:c r="R146" s="29" t="str">
        <x:v>Member / participant</x:v>
      </x:c>
      <x:c r="S146" s="29" t="str">
        <x:v>Unqualified / research pending</x:v>
      </x:c>
      <x:c r="T146" s="29" t="str">
        <x:v>Identity stated; professional verification pending</x:v>
      </x:c>
      <x:c r="U146" s="29" t="str">
        <x:v>Low</x:v>
      </x:c>
      <x:c r="V146" s="29" t="str">
        <x:v>No reliable commercial signal from the available data.</x:v>
      </x:c>
      <x:c r="W146" s="29" t="str">
        <x:v>Resolve identity and current role through a consensual group-admin or direct-message check before any outreach.</x:v>
      </x:c>
      <x:c r="X146" s="29" t="str">
        <x:v>Unassigned</x:v>
      </x:c>
      <x:c r="Y146" s="32" t="n">
        <x:v>46262</x:v>
      </x:c>
      <x:c r="Z146" s="29" t="str">
        <x:v>Not recorded — internal CRM only</x:v>
      </x:c>
      <x:c r="AA146" s="29" t="str">
        <x:v>Phone / closed-group source; human review required</x:v>
      </x:c>
      <x:c r="AB146" s="29" t="str">
        <x:v>Unqualified / research pending</x:v>
      </x:c>
      <x:c r="AC146" s="29" t="str"/>
      <x:c r="AD146" s="29" t="str">
        <x:f>E146&amp;" | "&amp;J146&amp;" | "&amp;K146&amp;" | "&amp;F146</x:f>
        <x:v>Andrii S (surname unresolved) | — | — | ‎+380982519869</x:v>
      </x:c>
      <x:c r="AE146" s="31" t="n">
        <x:f>(IF(OR(O146="Confirmed",O146="Confirmed — phone matched"),2,IF(OR(O146="Self-identified",O146="Probable"),1,0))+IF(J146&lt;&gt;"—",1,0)+IF(K146&lt;&gt;"—",1,0)+IF(L146&lt;&gt;"To classify",1,0)+IF(OR(M146&lt;&gt;"",N146&lt;&gt;""),1,0)+IF(H146&lt;&gt;"",1,0)+IF(AB146&lt;&gt;"",1,0)+IF(X146&lt;&gt;"Unassigned",1,0))/9</x:f>
        <x:v>0.2222222222222222</x:v>
      </x:c>
    </x:row>
    <x:row r="147">
      <x:c r="A147" s="45" t="n">
        <x:v>143</x:v>
      </x:c>
      <x:c r="B147" s="29" t="str">
        <x:v>WhatsApp</x:v>
      </x:c>
      <x:c r="C147" s="29" t="str">
        <x:v>ISRM Ukraine</x:v>
      </x:c>
      <x:c r="D147" s="29" t="str">
        <x:v>Anja</x:v>
      </x:c>
      <x:c r="E147" s="29" t="str">
        <x:v>Anja (surname unknown)</x:v>
      </x:c>
      <x:c r="F147" s="29" t="str">
        <x:v>‎+19039489409</x:v>
      </x:c>
      <x:c r="G147" s="29" t="str">
        <x:v>United States / Canada</x:v>
      </x:c>
      <x:c r="H147" s="29"/>
      <x:c r="I147" s="29"/>
      <x:c r="J147" s="29" t="str">
        <x:v>—</x:v>
      </x:c>
      <x:c r="K147" s="29" t="str">
        <x:v>—</x:v>
      </x:c>
      <x:c r="L147" s="29" t="str">
        <x:v>To classify</x:v>
      </x:c>
      <x:c r="M147" s="29"/>
      <x:c r="N147" s="29"/>
      <x:c r="O147" s="29" t="str">
        <x:v>Partial</x:v>
      </x:c>
      <x:c r="P147" s="29" t="str">
        <x:v>Low</x:v>
      </x:c>
      <x:c r="Q147" s="46" t="str">
        <x:v>No</x:v>
      </x:c>
      <x:c r="R147" s="29" t="str">
        <x:v>Member / participant</x:v>
      </x:c>
      <x:c r="S147" s="29" t="str">
        <x:v>Unqualified / research pending</x:v>
      </x:c>
      <x:c r="T147" s="29" t="str">
        <x:v>Identity completion pending</x:v>
      </x:c>
      <x:c r="U147" s="29" t="str">
        <x:v>Low</x:v>
      </x:c>
      <x:c r="V147" s="29" t="str">
        <x:v>No reliable commercial signal from the available data.</x:v>
      </x:c>
      <x:c r="W147" s="29" t="str">
        <x:v>Resolve identity and current role through a consensual group-admin or direct-message check before any outreach.</x:v>
      </x:c>
      <x:c r="X147" s="29" t="str">
        <x:v>Unassigned</x:v>
      </x:c>
      <x:c r="Y147" s="32" t="n">
        <x:v>46262</x:v>
      </x:c>
      <x:c r="Z147" s="29" t="str">
        <x:v>Not recorded — internal CRM only</x:v>
      </x:c>
      <x:c r="AA147" s="29" t="str">
        <x:v>Phone / closed-group source; human review required</x:v>
      </x:c>
      <x:c r="AB147" s="29" t="str">
        <x:v>Unqualified / research pending</x:v>
      </x:c>
      <x:c r="AC147" s="29" t="str"/>
      <x:c r="AD147" s="29" t="str">
        <x:f>E147&amp;" | "&amp;J147&amp;" | "&amp;K147&amp;" | "&amp;F147</x:f>
        <x:v>Anja (surname unknown) | — | — | ‎+19039489409</x:v>
      </x:c>
      <x:c r="AE147" s="31" t="n">
        <x:f>(IF(OR(O147="Confirmed",O147="Confirmed — phone matched"),2,IF(OR(O147="Self-identified",O147="Probable"),1,0))+IF(J147&lt;&gt;"—",1,0)+IF(K147&lt;&gt;"—",1,0)+IF(L147&lt;&gt;"To classify",1,0)+IF(OR(M147&lt;&gt;"",N147&lt;&gt;""),1,0)+IF(H147&lt;&gt;"",1,0)+IF(AB147&lt;&gt;"",1,0)+IF(X147&lt;&gt;"Unassigned",1,0))/9</x:f>
        <x:v>0.1111111111111111</x:v>
      </x:c>
    </x:row>
    <x:row r="148">
      <x:c r="A148" s="45" t="n">
        <x:v>144</x:v>
      </x:c>
      <x:c r="B148" s="29" t="str">
        <x:v>WhatsApp</x:v>
      </x:c>
      <x:c r="C148" s="29" t="str">
        <x:v>ISRM Ukraine</x:v>
      </x:c>
      <x:c r="D148" s="29" t="str">
        <x:v>Anya</x:v>
      </x:c>
      <x:c r="E148" s="29" t="str">
        <x:v>Anya (surname unknown)</x:v>
      </x:c>
      <x:c r="F148" s="29" t="str">
        <x:v>‎+380937531827</x:v>
      </x:c>
      <x:c r="G148" s="29" t="str">
        <x:v>Ukraine</x:v>
      </x:c>
      <x:c r="H148" s="29"/>
      <x:c r="I148" s="29"/>
      <x:c r="J148" s="29" t="str">
        <x:v>—</x:v>
      </x:c>
      <x:c r="K148" s="29" t="str">
        <x:v>—</x:v>
      </x:c>
      <x:c r="L148" s="29" t="str">
        <x:v>To classify</x:v>
      </x:c>
      <x:c r="M148" s="29"/>
      <x:c r="N148" s="29"/>
      <x:c r="O148" s="29" t="str">
        <x:v>Partial</x:v>
      </x:c>
      <x:c r="P148" s="29" t="str">
        <x:v>Low</x:v>
      </x:c>
      <x:c r="Q148" s="46" t="str">
        <x:v>No</x:v>
      </x:c>
      <x:c r="R148" s="29" t="str">
        <x:v>Member / participant</x:v>
      </x:c>
      <x:c r="S148" s="29" t="str">
        <x:v>Unqualified / research pending</x:v>
      </x:c>
      <x:c r="T148" s="29" t="str">
        <x:v>Identity completion pending</x:v>
      </x:c>
      <x:c r="U148" s="29" t="str">
        <x:v>Low</x:v>
      </x:c>
      <x:c r="V148" s="29" t="str">
        <x:v>No reliable commercial signal from the available data.</x:v>
      </x:c>
      <x:c r="W148" s="29" t="str">
        <x:v>Resolve identity and current role through a consensual group-admin or direct-message check before any outreach.</x:v>
      </x:c>
      <x:c r="X148" s="29" t="str">
        <x:v>Unassigned</x:v>
      </x:c>
      <x:c r="Y148" s="32" t="n">
        <x:v>46262</x:v>
      </x:c>
      <x:c r="Z148" s="29" t="str">
        <x:v>Not recorded — internal CRM only</x:v>
      </x:c>
      <x:c r="AA148" s="29" t="str">
        <x:v>Phone / closed-group source; human review required</x:v>
      </x:c>
      <x:c r="AB148" s="29" t="str">
        <x:v>Unqualified / research pending</x:v>
      </x:c>
      <x:c r="AC148" s="29" t="str"/>
      <x:c r="AD148" s="29" t="str">
        <x:f>E148&amp;" | "&amp;J148&amp;" | "&amp;K148&amp;" | "&amp;F148</x:f>
        <x:v>Anya (surname unknown) | — | — | ‎+380937531827</x:v>
      </x:c>
      <x:c r="AE148" s="31" t="n">
        <x:f>(IF(OR(O148="Confirmed",O148="Confirmed — phone matched"),2,IF(OR(O148="Self-identified",O148="Probable"),1,0))+IF(J148&lt;&gt;"—",1,0)+IF(K148&lt;&gt;"—",1,0)+IF(L148&lt;&gt;"To classify",1,0)+IF(OR(M148&lt;&gt;"",N148&lt;&gt;""),1,0)+IF(H148&lt;&gt;"",1,0)+IF(AB148&lt;&gt;"",1,0)+IF(X148&lt;&gt;"Unassigned",1,0))/9</x:f>
        <x:v>0.1111111111111111</x:v>
      </x:c>
    </x:row>
    <x:row r="149">
      <x:c r="A149" s="45" t="n">
        <x:v>145</x:v>
      </x:c>
      <x:c r="B149" s="29" t="str">
        <x:v>WhatsApp</x:v>
      </x:c>
      <x:c r="C149" s="29" t="str">
        <x:v>ISRM Ukraine</x:v>
      </x:c>
      <x:c r="D149" s="29" t="str">
        <x:v>At your service, Sort Of.</x:v>
      </x:c>
      <x:c r="E149" s="29" t="str">
        <x:v>Identity unresolved</x:v>
      </x:c>
      <x:c r="F149" s="29" t="str">
        <x:v>‎+380974302329</x:v>
      </x:c>
      <x:c r="G149" s="29" t="str">
        <x:v>Ukraine</x:v>
      </x:c>
      <x:c r="H149" s="29"/>
      <x:c r="I149" s="29"/>
      <x:c r="J149" s="29" t="str">
        <x:v>—</x:v>
      </x:c>
      <x:c r="K149" s="29" t="str">
        <x:v>—</x:v>
      </x:c>
      <x:c r="L149" s="29" t="str">
        <x:v>To classify</x:v>
      </x:c>
      <x:c r="M149" s="29"/>
      <x:c r="N149" s="29"/>
      <x:c r="O149" s="29" t="str">
        <x:v>Partial</x:v>
      </x:c>
      <x:c r="P149" s="29" t="str">
        <x:v>Low</x:v>
      </x:c>
      <x:c r="Q149" s="46" t="str">
        <x:v>No</x:v>
      </x:c>
      <x:c r="R149" s="29" t="str">
        <x:v>Member / participant</x:v>
      </x:c>
      <x:c r="S149" s="29" t="str">
        <x:v>Unqualified / research pending</x:v>
      </x:c>
      <x:c r="T149" s="29" t="str">
        <x:v>Identity completion pending</x:v>
      </x:c>
      <x:c r="U149" s="29" t="str">
        <x:v>Low</x:v>
      </x:c>
      <x:c r="V149" s="29" t="str">
        <x:v>No reliable commercial signal from the available data.</x:v>
      </x:c>
      <x:c r="W149" s="29" t="str">
        <x:v>Resolve identity and current role through a consensual group-admin or direct-message check before any outreach.</x:v>
      </x:c>
      <x:c r="X149" s="29" t="str">
        <x:v>Unassigned</x:v>
      </x:c>
      <x:c r="Y149" s="32" t="n">
        <x:v>46262</x:v>
      </x:c>
      <x:c r="Z149" s="29" t="str">
        <x:v>Not recorded — internal CRM only</x:v>
      </x:c>
      <x:c r="AA149" s="29" t="str">
        <x:v>Phone / closed-group source; human review required</x:v>
      </x:c>
      <x:c r="AB149" s="29" t="str">
        <x:v>Unqualified / research pending</x:v>
      </x:c>
      <x:c r="AC149" s="29" t="str"/>
      <x:c r="AD149" s="29" t="str">
        <x:f>E149&amp;" | "&amp;J149&amp;" | "&amp;K149&amp;" | "&amp;F149</x:f>
        <x:v>Identity unresolved | — | — | ‎+380974302329</x:v>
      </x:c>
      <x:c r="AE149" s="31" t="n">
        <x:f>(IF(OR(O149="Confirmed",O149="Confirmed — phone matched"),2,IF(OR(O149="Self-identified",O149="Probable"),1,0))+IF(J149&lt;&gt;"—",1,0)+IF(K149&lt;&gt;"—",1,0)+IF(L149&lt;&gt;"To classify",1,0)+IF(OR(M149&lt;&gt;"",N149&lt;&gt;""),1,0)+IF(H149&lt;&gt;"",1,0)+IF(AB149&lt;&gt;"",1,0)+IF(X149&lt;&gt;"Unassigned",1,0))/9</x:f>
        <x:v>0.1111111111111111</x:v>
      </x:c>
    </x:row>
    <x:row r="150">
      <x:c r="A150" s="45" t="n">
        <x:v>146</x:v>
      </x:c>
      <x:c r="B150" s="29" t="str">
        <x:v>WhatsApp</x:v>
      </x:c>
      <x:c r="C150" s="29" t="str">
        <x:v>ISRM Ukraine</x:v>
      </x:c>
      <x:c r="D150" s="29" t="str">
        <x:v>B.K</x:v>
      </x:c>
      <x:c r="E150" s="29" t="str">
        <x:v>B.K (identity unresolved)</x:v>
      </x:c>
      <x:c r="F150" s="29" t="str">
        <x:v>‎+380661079064</x:v>
      </x:c>
      <x:c r="G150" s="29" t="str">
        <x:v>Ukraine</x:v>
      </x:c>
      <x:c r="H150" s="29"/>
      <x:c r="I150" s="29"/>
      <x:c r="J150" s="29" t="str">
        <x:v>—</x:v>
      </x:c>
      <x:c r="K150" s="29" t="str">
        <x:v>—</x:v>
      </x:c>
      <x:c r="L150" s="29" t="str">
        <x:v>To classify</x:v>
      </x:c>
      <x:c r="M150" s="29"/>
      <x:c r="N150" s="29"/>
      <x:c r="O150" s="29" t="str">
        <x:v>Partial</x:v>
      </x:c>
      <x:c r="P150" s="29" t="str">
        <x:v>Low</x:v>
      </x:c>
      <x:c r="Q150" s="46" t="str">
        <x:v>No</x:v>
      </x:c>
      <x:c r="R150" s="29" t="str">
        <x:v>Member / participant</x:v>
      </x:c>
      <x:c r="S150" s="29" t="str">
        <x:v>Unqualified / research pending</x:v>
      </x:c>
      <x:c r="T150" s="29" t="str">
        <x:v>Identity completion pending</x:v>
      </x:c>
      <x:c r="U150" s="29" t="str">
        <x:v>Low</x:v>
      </x:c>
      <x:c r="V150" s="29" t="str">
        <x:v>No reliable commercial signal from the available data.</x:v>
      </x:c>
      <x:c r="W150" s="29" t="str">
        <x:v>Resolve identity and current role through a consensual group-admin or direct-message check before any outreach.</x:v>
      </x:c>
      <x:c r="X150" s="29" t="str">
        <x:v>Unassigned</x:v>
      </x:c>
      <x:c r="Y150" s="32" t="n">
        <x:v>46262</x:v>
      </x:c>
      <x:c r="Z150" s="29" t="str">
        <x:v>Not recorded — internal CRM only</x:v>
      </x:c>
      <x:c r="AA150" s="29" t="str">
        <x:v>Phone / closed-group source; human review required</x:v>
      </x:c>
      <x:c r="AB150" s="29" t="str">
        <x:v>Unqualified / research pending</x:v>
      </x:c>
      <x:c r="AC150" s="29" t="str"/>
      <x:c r="AD150" s="29" t="str">
        <x:f>E150&amp;" | "&amp;J150&amp;" | "&amp;K150&amp;" | "&amp;F150</x:f>
        <x:v>B.K (identity unresolved) | — | — | ‎+380661079064</x:v>
      </x:c>
      <x:c r="AE150" s="31" t="n">
        <x:f>(IF(OR(O150="Confirmed",O150="Confirmed — phone matched"),2,IF(OR(O150="Self-identified",O150="Probable"),1,0))+IF(J150&lt;&gt;"—",1,0)+IF(K150&lt;&gt;"—",1,0)+IF(L150&lt;&gt;"To classify",1,0)+IF(OR(M150&lt;&gt;"",N150&lt;&gt;""),1,0)+IF(H150&lt;&gt;"",1,0)+IF(AB150&lt;&gt;"",1,0)+IF(X150&lt;&gt;"Unassigned",1,0))/9</x:f>
        <x:v>0.1111111111111111</x:v>
      </x:c>
    </x:row>
    <x:row r="151">
      <x:c r="A151" s="45" t="n">
        <x:v>147</x:v>
      </x:c>
      <x:c r="B151" s="29" t="str">
        <x:v>WhatsApp</x:v>
      </x:c>
      <x:c r="C151" s="29" t="str">
        <x:v>ISRM Ukraine</x:v>
      </x:c>
      <x:c r="D151" s="29" t="str">
        <x:v>Bogdan 😎</x:v>
      </x:c>
      <x:c r="E151" s="29" t="str">
        <x:v>Bogdan (surname unknown)</x:v>
      </x:c>
      <x:c r="F151" s="29" t="str">
        <x:v>‎+380938843850</x:v>
      </x:c>
      <x:c r="G151" s="29" t="str">
        <x:v>Ukraine</x:v>
      </x:c>
      <x:c r="H151" s="29"/>
      <x:c r="I151" s="29"/>
      <x:c r="J151" s="29" t="str">
        <x:v>SK Security</x:v>
      </x:c>
      <x:c r="K151" s="29" t="str">
        <x:v>Adviser</x:v>
      </x:c>
      <x:c r="L151" s="29" t="str">
        <x:v>Security / risk / resilience</x:v>
      </x:c>
      <x:c r="M151" s="29"/>
      <x:c r="N151" s="29"/>
      <x:c r="O151" s="29" t="str">
        <x:v>Partial</x:v>
      </x:c>
      <x:c r="P151" s="29" t="str">
        <x:v>Medium</x:v>
      </x:c>
      <x:c r="Q151" s="46" t="str">
        <x:v>No</x:v>
      </x:c>
      <x:c r="R151" s="29" t="str">
        <x:v>Institutional partner candidate</x:v>
      </x:c>
      <x:c r="S151" s="29" t="str">
        <x:v>Potential partner / referral</x:v>
      </x:c>
      <x:c r="T151" s="29" t="str">
        <x:v>Identity completion pending</x:v>
      </x:c>
      <x:c r="U151" s="29" t="str">
        <x:v>High</x:v>
      </x:c>
      <x:c r="V151" s="29" t="str">
        <x:v>Security adviser in a commercially relevant company; identity incomplete.</x:v>
      </x:c>
      <x:c r="W151" s="29" t="str">
        <x:v>Resolve surname and company profile before outreach.</x:v>
      </x:c>
      <x:c r="X151" s="29" t="str">
        <x:v>Unassigned</x:v>
      </x:c>
      <x:c r="Y151" s="32" t="n">
        <x:v>46262</x:v>
      </x:c>
      <x:c r="Z151" s="29" t="str">
        <x:v>Not recorded — internal CRM only</x:v>
      </x:c>
      <x:c r="AA151" s="29" t="str">
        <x:v>Phone / closed-group source; human review required</x:v>
      </x:c>
      <x:c r="AB151" s="29" t="str">
        <x:v>Security / risk / resilience; Security, strategic risk and crisis management; Potential partner / referral</x:v>
      </x:c>
      <x:c r="AC151" s="29" t="str">
        <x:v>Advisor. SK SECURITY</x:v>
      </x:c>
      <x:c r="AD151" s="29" t="str">
        <x:f>E151&amp;" | "&amp;J151&amp;" | "&amp;K151&amp;" | "&amp;F151</x:f>
        <x:v>Bogdan (surname unknown) | SK Security | Adviser | ‎+380938843850</x:v>
      </x:c>
      <x:c r="AE151" s="31" t="n">
        <x:f>(IF(OR(O151="Confirmed",O151="Confirmed — phone matched"),2,IF(OR(O151="Self-identified",O151="Probable"),1,0))+IF(J151&lt;&gt;"—",1,0)+IF(K151&lt;&gt;"—",1,0)+IF(L151&lt;&gt;"To classify",1,0)+IF(OR(M151&lt;&gt;"",N151&lt;&gt;""),1,0)+IF(H151&lt;&gt;"",1,0)+IF(AB151&lt;&gt;"",1,0)+IF(X151&lt;&gt;"Unassigned",1,0))/9</x:f>
        <x:v>0.4444444444444444</x:v>
      </x:c>
    </x:row>
    <x:row r="152">
      <x:c r="A152" s="45" t="n">
        <x:v>148</x:v>
      </x:c>
      <x:c r="B152" s="29" t="str">
        <x:v>WhatsApp</x:v>
      </x:c>
      <x:c r="C152" s="29" t="str">
        <x:v>ISRM Ukraine</x:v>
      </x:c>
      <x:c r="D152" s="29" t="str">
        <x:v>Bogdan D</x:v>
      </x:c>
      <x:c r="E152" s="29" t="str">
        <x:v>Bogdan D (surname unresolved)</x:v>
      </x:c>
      <x:c r="F152" s="29" t="str">
        <x:v>‎+380933796812</x:v>
      </x:c>
      <x:c r="G152" s="29" t="str">
        <x:v>Ukraine</x:v>
      </x:c>
      <x:c r="H152" s="29"/>
      <x:c r="I152" s="29"/>
      <x:c r="J152" s="29" t="str">
        <x:v>—</x:v>
      </x:c>
      <x:c r="K152" s="29" t="str">
        <x:v>—</x:v>
      </x:c>
      <x:c r="L152" s="29" t="str">
        <x:v>To classify</x:v>
      </x:c>
      <x:c r="M152" s="29"/>
      <x:c r="N152" s="29"/>
      <x:c r="O152" s="29" t="str">
        <x:v>Self-identified</x:v>
      </x:c>
      <x:c r="P152" s="29" t="str">
        <x:v>Medium</x:v>
      </x:c>
      <x:c r="Q152" s="46" t="str">
        <x:v>No</x:v>
      </x:c>
      <x:c r="R152" s="29" t="str">
        <x:v>Member / participant</x:v>
      </x:c>
      <x:c r="S152" s="29" t="str">
        <x:v>Unqualified / research pending</x:v>
      </x:c>
      <x:c r="T152" s="29" t="str">
        <x:v>Identity stated; professional verification pending</x:v>
      </x:c>
      <x:c r="U152" s="29" t="str">
        <x:v>Low</x:v>
      </x:c>
      <x:c r="V152" s="29" t="str">
        <x:v>No reliable commercial signal from the available data.</x:v>
      </x:c>
      <x:c r="W152" s="29" t="str">
        <x:v>Resolve identity and current role through a consensual group-admin or direct-message check before any outreach.</x:v>
      </x:c>
      <x:c r="X152" s="29" t="str">
        <x:v>Unassigned</x:v>
      </x:c>
      <x:c r="Y152" s="32" t="n">
        <x:v>46262</x:v>
      </x:c>
      <x:c r="Z152" s="29" t="str">
        <x:v>Not recorded — internal CRM only</x:v>
      </x:c>
      <x:c r="AA152" s="29" t="str">
        <x:v>Phone / closed-group source; human review required</x:v>
      </x:c>
      <x:c r="AB152" s="29" t="str">
        <x:v>Unqualified / research pending</x:v>
      </x:c>
      <x:c r="AC152" s="29" t="str"/>
      <x:c r="AD152" s="29" t="str">
        <x:f>E152&amp;" | "&amp;J152&amp;" | "&amp;K152&amp;" | "&amp;F152</x:f>
        <x:v>Bogdan D (surname unresolved) | — | — | ‎+380933796812</x:v>
      </x:c>
      <x:c r="AE152" s="31" t="n">
        <x:f>(IF(OR(O152="Confirmed",O152="Confirmed — phone matched"),2,IF(OR(O152="Self-identified",O152="Probable"),1,0))+IF(J152&lt;&gt;"—",1,0)+IF(K152&lt;&gt;"—",1,0)+IF(L152&lt;&gt;"To classify",1,0)+IF(OR(M152&lt;&gt;"",N152&lt;&gt;""),1,0)+IF(H152&lt;&gt;"",1,0)+IF(AB152&lt;&gt;"",1,0)+IF(X152&lt;&gt;"Unassigned",1,0))/9</x:f>
        <x:v>0.2222222222222222</x:v>
      </x:c>
    </x:row>
    <x:row r="153">
      <x:c r="A153" s="45" t="n">
        <x:v>149</x:v>
      </x:c>
      <x:c r="B153" s="29" t="str">
        <x:v>WhatsApp</x:v>
      </x:c>
      <x:c r="C153" s="29" t="str">
        <x:v>ISRM Ukraine</x:v>
      </x:c>
      <x:c r="D153" s="29" t="str">
        <x:v>Brett</x:v>
      </x:c>
      <x:c r="E153" s="29" t="str">
        <x:v>Brett (surname unknown)</x:v>
      </x:c>
      <x:c r="F153" s="29" t="str">
        <x:v>‎+18053315464</x:v>
      </x:c>
      <x:c r="G153" s="29" t="str">
        <x:v>United States / Canada</x:v>
      </x:c>
      <x:c r="H153" s="29"/>
      <x:c r="I153" s="29"/>
      <x:c r="J153" s="29" t="str">
        <x:v>—</x:v>
      </x:c>
      <x:c r="K153" s="29" t="str">
        <x:v>—</x:v>
      </x:c>
      <x:c r="L153" s="29" t="str">
        <x:v>To classify</x:v>
      </x:c>
      <x:c r="M153" s="29"/>
      <x:c r="N153" s="29"/>
      <x:c r="O153" s="29" t="str">
        <x:v>Partial</x:v>
      </x:c>
      <x:c r="P153" s="29" t="str">
        <x:v>Low</x:v>
      </x:c>
      <x:c r="Q153" s="46" t="str">
        <x:v>No</x:v>
      </x:c>
      <x:c r="R153" s="29" t="str">
        <x:v>Member / participant</x:v>
      </x:c>
      <x:c r="S153" s="29" t="str">
        <x:v>Unqualified / research pending</x:v>
      </x:c>
      <x:c r="T153" s="29" t="str">
        <x:v>Identity completion pending</x:v>
      </x:c>
      <x:c r="U153" s="29" t="str">
        <x:v>Low</x:v>
      </x:c>
      <x:c r="V153" s="29" t="str">
        <x:v>No reliable commercial signal from the available data.</x:v>
      </x:c>
      <x:c r="W153" s="29" t="str">
        <x:v>Resolve identity and current role through a consensual group-admin or direct-message check before any outreach.</x:v>
      </x:c>
      <x:c r="X153" s="29" t="str">
        <x:v>Unassigned</x:v>
      </x:c>
      <x:c r="Y153" s="32" t="n">
        <x:v>46262</x:v>
      </x:c>
      <x:c r="Z153" s="29" t="str">
        <x:v>Not recorded — internal CRM only</x:v>
      </x:c>
      <x:c r="AA153" s="29" t="str">
        <x:v>Phone / closed-group source; human review required</x:v>
      </x:c>
      <x:c r="AB153" s="29" t="str">
        <x:v>Unqualified / research pending</x:v>
      </x:c>
      <x:c r="AC153" s="29" t="str"/>
      <x:c r="AD153" s="29" t="str">
        <x:f>E153&amp;" | "&amp;J153&amp;" | "&amp;K153&amp;" | "&amp;F153</x:f>
        <x:v>Brett (surname unknown) | — | — | ‎+18053315464</x:v>
      </x:c>
      <x:c r="AE153" s="31" t="n">
        <x:f>(IF(OR(O153="Confirmed",O153="Confirmed — phone matched"),2,IF(OR(O153="Self-identified",O153="Probable"),1,0))+IF(J153&lt;&gt;"—",1,0)+IF(K153&lt;&gt;"—",1,0)+IF(L153&lt;&gt;"To classify",1,0)+IF(OR(M153&lt;&gt;"",N153&lt;&gt;""),1,0)+IF(H153&lt;&gt;"",1,0)+IF(AB153&lt;&gt;"",1,0)+IF(X153&lt;&gt;"Unassigned",1,0))/9</x:f>
        <x:v>0.1111111111111111</x:v>
      </x:c>
    </x:row>
    <x:row r="154">
      <x:c r="A154" s="45" t="n">
        <x:v>150</x:v>
      </x:c>
      <x:c r="B154" s="29" t="str">
        <x:v>WhatsApp</x:v>
      </x:c>
      <x:c r="C154" s="29" t="str">
        <x:v>ISRM Ukraine</x:v>
      </x:c>
      <x:c r="D154" s="29" t="str">
        <x:v>Camille Pajor | ARC</x:v>
      </x:c>
      <x:c r="E154" s="29" t="str">
        <x:v>Camille Pajor</x:v>
      </x:c>
      <x:c r="F154" s="29" t="str">
        <x:v>‎+17184336937</x:v>
      </x:c>
      <x:c r="G154" s="29" t="str">
        <x:v>United States / Canada</x:v>
      </x:c>
      <x:c r="H154" s="29"/>
      <x:c r="I154" s="29"/>
      <x:c r="J154" s="29" t="str">
        <x:v>Adapted Relief Collective</x:v>
      </x:c>
      <x:c r="K154" s="29" t="str">
        <x:v>Humanitarian professional</x:v>
      </x:c>
      <x:c r="L154" s="29" t="str">
        <x:v>Humanitarian / NGO</x:v>
      </x:c>
      <x:c r="M154" s="29" t="str">
        <x:v>https://ua.linkedin.com/in/camillepajor</x:v>
      </x:c>
      <x:c r="N154" s="29"/>
      <x:c r="O154" s="29" t="str">
        <x:v>Confirmed</x:v>
      </x:c>
      <x:c r="P154" s="29" t="str">
        <x:v>High</x:v>
      </x:c>
      <x:c r="Q154" s="46" t="str">
        <x:v>No</x:v>
      </x:c>
      <x:c r="R154" s="29" t="str">
        <x:v>Member / participant</x:v>
      </x:c>
      <x:c r="S154" s="29" t="str">
        <x:v>Potential client</x:v>
      </x:c>
      <x:c r="T154" s="29" t="str">
        <x:v>Verified profile</x:v>
      </x:c>
      <x:c r="U154" s="29" t="str">
        <x:v>High</x:v>
      </x:c>
      <x:c r="V154" s="29" t="str">
        <x:v>Humanitarian operator with potential NGO governance and cross-border legal needs.</x:v>
      </x:c>
      <x:c r="W154" s="29" t="str">
        <x:v>Approach on Ukraine programme contracting, compliance and partnerships.</x:v>
      </x:c>
      <x:c r="X154" s="29" t="str">
        <x:v>Unassigned</x:v>
      </x:c>
      <x:c r="Y154" s="32" t="n">
        <x:v>46262</x:v>
      </x:c>
      <x:c r="Z154" s="29" t="str">
        <x:v>Not recorded — internal CRM only</x:v>
      </x:c>
      <x:c r="AA154" s="29" t="str">
        <x:v>Phone / closed-group source; human review required</x:v>
      </x:c>
      <x:c r="AB154" s="29" t="str">
        <x:v>Humanitarian / NGO; Humanitarian operations and protection; Potential client</x:v>
      </x:c>
      <x:c r="AC154" s="29" t="str"/>
      <x:c r="AD154" s="29" t="str">
        <x:f>E154&amp;" | "&amp;J154&amp;" | "&amp;K154&amp;" | "&amp;F154</x:f>
        <x:v>Camille Pajor | Adapted Relief Collective | Humanitarian professional | ‎+17184336937</x:v>
      </x:c>
      <x:c r="AE154" s="31" t="n">
        <x:f>(IF(OR(O154="Confirmed",O154="Confirmed — phone matched"),2,IF(OR(O154="Self-identified",O154="Probable"),1,0))+IF(J154&lt;&gt;"—",1,0)+IF(K154&lt;&gt;"—",1,0)+IF(L154&lt;&gt;"To classify",1,0)+IF(OR(M154&lt;&gt;"",N154&lt;&gt;""),1,0)+IF(H154&lt;&gt;"",1,0)+IF(AB154&lt;&gt;"",1,0)+IF(X154&lt;&gt;"Unassigned",1,0))/9</x:f>
        <x:v>0.7777777777777778</x:v>
      </x:c>
    </x:row>
    <x:row r="155">
      <x:c r="A155" s="45" t="n">
        <x:v>151</x:v>
      </x:c>
      <x:c r="B155" s="29" t="str">
        <x:v>WhatsApp</x:v>
      </x:c>
      <x:c r="C155" s="29" t="str">
        <x:v>ISRM Ukraine</x:v>
      </x:c>
      <x:c r="D155" s="29" t="str">
        <x:v>Carl Robinson</x:v>
      </x:c>
      <x:c r="E155" s="29" t="str">
        <x:v>Carl Robinson</x:v>
      </x:c>
      <x:c r="F155" s="29" t="str">
        <x:v>‎+380681386875</x:v>
      </x:c>
      <x:c r="G155" s="29" t="str">
        <x:v>Ukraine</x:v>
      </x:c>
      <x:c r="H155" s="29"/>
      <x:c r="I155" s="29"/>
      <x:c r="J155" s="29" t="str">
        <x:v>Oxfam Ukraine</x:v>
      </x:c>
      <x:c r="K155" s="29" t="str">
        <x:v>Country Safety and Security Coordinator</x:v>
      </x:c>
      <x:c r="L155" s="29" t="str">
        <x:v>Security / risk / resilience</x:v>
      </x:c>
      <x:c r="M155" s="29" t="str">
        <x:v>https://hk.linkedin.com/in/carl-robinson-ba91b920</x:v>
      </x:c>
      <x:c r="N155" s="29"/>
      <x:c r="O155" s="29" t="str">
        <x:v>Confirmed</x:v>
      </x:c>
      <x:c r="P155" s="29" t="str">
        <x:v>High</x:v>
      </x:c>
      <x:c r="Q155" s="46" t="str">
        <x:v>No</x:v>
      </x:c>
      <x:c r="R155" s="29" t="str">
        <x:v>Member / participant</x:v>
      </x:c>
      <x:c r="S155" s="29" t="str">
        <x:v>Potential client</x:v>
      </x:c>
      <x:c r="T155" s="29" t="str">
        <x:v>Verified profile</x:v>
      </x:c>
      <x:c r="U155" s="29" t="str">
        <x:v>High</x:v>
      </x:c>
      <x:c r="V155" s="29" t="str">
        <x:v>Senior NGO security professional with operational legal and duty-of-care needs.</x:v>
      </x:c>
      <x:c r="W155" s="29" t="str">
        <x:v>Warm sector introduction with an NGO legal-risk proposition.</x:v>
      </x:c>
      <x:c r="X155" s="29" t="str">
        <x:v>Unassigned</x:v>
      </x:c>
      <x:c r="Y155" s="32" t="n">
        <x:v>46262</x:v>
      </x:c>
      <x:c r="Z155" s="29" t="str">
        <x:v>Not recorded — internal CRM only</x:v>
      </x:c>
      <x:c r="AA155" s="29" t="str">
        <x:v>Phone / closed-group source; human review required</x:v>
      </x:c>
      <x:c r="AB155" s="29" t="str">
        <x:v>Security / risk / resilience; Security, strategic risk and crisis management; Potential client</x:v>
      </x:c>
      <x:c r="AC155" s="29" t="str"/>
      <x:c r="AD155" s="29" t="str">
        <x:f>E155&amp;" | "&amp;J155&amp;" | "&amp;K155&amp;" | "&amp;F155</x:f>
        <x:v>Carl Robinson | Oxfam Ukraine | Country Safety and Security Coordinator | ‎+380681386875</x:v>
      </x:c>
      <x:c r="AE155" s="31" t="n">
        <x:f>(IF(OR(O155="Confirmed",O155="Confirmed — phone matched"),2,IF(OR(O155="Self-identified",O155="Probable"),1,0))+IF(J155&lt;&gt;"—",1,0)+IF(K155&lt;&gt;"—",1,0)+IF(L155&lt;&gt;"To classify",1,0)+IF(OR(M155&lt;&gt;"",N155&lt;&gt;""),1,0)+IF(H155&lt;&gt;"",1,0)+IF(AB155&lt;&gt;"",1,0)+IF(X155&lt;&gt;"Unassigned",1,0))/9</x:f>
        <x:v>0.7777777777777778</x:v>
      </x:c>
    </x:row>
    <x:row r="156">
      <x:c r="A156" s="45" t="n">
        <x:v>152</x:v>
      </x:c>
      <x:c r="B156" s="29" t="str">
        <x:v>WhatsApp</x:v>
      </x:c>
      <x:c r="C156" s="29" t="str">
        <x:v>ISRM Ukraine</x:v>
      </x:c>
      <x:c r="D156" s="29" t="str">
        <x:v>Cass</x:v>
      </x:c>
      <x:c r="E156" s="29" t="str">
        <x:v>Cassie Blackett-Ord</x:v>
      </x:c>
      <x:c r="F156" s="29" t="str">
        <x:v>‎+447570557551</x:v>
      </x:c>
      <x:c r="G156" s="29" t="str">
        <x:v>United Kingdom</x:v>
      </x:c>
      <x:c r="H156" s="29"/>
      <x:c r="I156" s="29"/>
      <x:c r="J156" s="29" t="str">
        <x:v>ActionAid International</x:v>
      </x:c>
      <x:c r="K156" s="29" t="str">
        <x:v>Global Security Lead; INSSA Board Chair</x:v>
      </x:c>
      <x:c r="L156" s="29" t="str">
        <x:v>Humanitarian / NGO</x:v>
      </x:c>
      <x:c r="M156" s="29" t="str">
        <x:v>https://www.linkedin.com/posts/cassie-blackett-ord-906398102_drone-warfare-is-tragically-transforming-activity-7447293484170035200-yZnO</x:v>
      </x:c>
      <x:c r="N156" s="29"/>
      <x:c r="O156" s="29" t="str">
        <x:v>Confirmed</x:v>
      </x:c>
      <x:c r="P156" s="29" t="str">
        <x:v>High</x:v>
      </x:c>
      <x:c r="Q156" s="46" t="str">
        <x:v>No</x:v>
      </x:c>
      <x:c r="R156" s="29" t="str">
        <x:v>Member / participant</x:v>
      </x:c>
      <x:c r="S156" s="29" t="str">
        <x:v>Potential client</x:v>
      </x:c>
      <x:c r="T156" s="29" t="str">
        <x:v>Verified profile</x:v>
      </x:c>
      <x:c r="U156" s="29" t="str">
        <x:v>High</x:v>
      </x:c>
      <x:c r="V156" s="29" t="str">
        <x:v>International NGO security coordinator; good fit for legal/compliance and incident support.</x:v>
      </x:c>
      <x:c r="W156" s="29" t="str">
        <x:v>Approach via shared ISRM/NGO context with a concise service offer.</x:v>
      </x:c>
      <x:c r="X156" s="29" t="str">
        <x:v>Unassigned</x:v>
      </x:c>
      <x:c r="Y156" s="32" t="n">
        <x:v>46262</x:v>
      </x:c>
      <x:c r="Z156" s="29" t="str">
        <x:v>Not recorded — internal CRM only</x:v>
      </x:c>
      <x:c r="AA156" s="29" t="str">
        <x:v>Phone / closed-group source; human review required</x:v>
      </x:c>
      <x:c r="AB156" s="29" t="str">
        <x:v>Humanitarian / NGO; Humanitarian security and duty of care; Potential client</x:v>
      </x:c>
      <x:c r="AC156" s="29" t="str">
        <x:v>Cassie Blackett, SC ActionAid</x:v>
      </x:c>
      <x:c r="AD156" s="29" t="str">
        <x:f>E156&amp;" | "&amp;J156&amp;" | "&amp;K156&amp;" | "&amp;F156</x:f>
        <x:v>Cassie Blackett-Ord | ActionAid International | Global Security Lead; INSSA Board Chair | ‎+447570557551</x:v>
      </x:c>
      <x:c r="AE156" s="31" t="n">
        <x:f>(IF(OR(O156="Confirmed",O156="Confirmed — phone matched"),2,IF(OR(O156="Self-identified",O156="Probable"),1,0))+IF(J156&lt;&gt;"—",1,0)+IF(K156&lt;&gt;"—",1,0)+IF(L156&lt;&gt;"To classify",1,0)+IF(OR(M156&lt;&gt;"",N156&lt;&gt;""),1,0)+IF(H156&lt;&gt;"",1,0)+IF(AB156&lt;&gt;"",1,0)+IF(X156&lt;&gt;"Unassigned",1,0))/9</x:f>
        <x:v>0.7777777777777778</x:v>
      </x:c>
    </x:row>
    <x:row r="157">
      <x:c r="A157" s="45" t="n">
        <x:v>153</x:v>
      </x:c>
      <x:c r="B157" s="29" t="str">
        <x:v>WhatsApp</x:v>
      </x:c>
      <x:c r="C157" s="29" t="str">
        <x:v>ISRM Ukraine</x:v>
      </x:c>
      <x:c r="D157" s="29" t="str">
        <x:v>Charlie Hutchinson</x:v>
      </x:c>
      <x:c r="E157" s="29" t="str">
        <x:v>Charlie Hutchinson</x:v>
      </x:c>
      <x:c r="F157" s="29" t="str">
        <x:v>‎+380669351736</x:v>
      </x:c>
      <x:c r="G157" s="29" t="str">
        <x:v>Ukraine</x:v>
      </x:c>
      <x:c r="H157" s="29"/>
      <x:c r="I157" s="29"/>
      <x:c r="J157" s="29" t="str">
        <x:v>Spearfish Security</x:v>
      </x:c>
      <x:c r="K157" s="29" t="str">
        <x:v>Ukraine and Eastern Europe Regional Manager</x:v>
      </x:c>
      <x:c r="L157" s="29" t="str">
        <x:v>Security / risk / resilience</x:v>
      </x:c>
      <x:c r="M157" s="29"/>
      <x:c r="N157" s="29" t="str">
        <x:v>https://spear-fish.com/about/</x:v>
      </x:c>
      <x:c r="O157" s="29" t="str">
        <x:v>Confirmed</x:v>
      </x:c>
      <x:c r="P157" s="29" t="str">
        <x:v>High</x:v>
      </x:c>
      <x:c r="Q157" s="46" t="str">
        <x:v>No</x:v>
      </x:c>
      <x:c r="R157" s="29" t="str">
        <x:v>Institutional partner candidate</x:v>
      </x:c>
      <x:c r="S157" s="29" t="str">
        <x:v>Potential partner / referral</x:v>
      </x:c>
      <x:c r="T157" s="29" t="str">
        <x:v>Verified profile</x:v>
      </x:c>
      <x:c r="U157" s="29" t="str">
        <x:v>High</x:v>
      </x:c>
      <x:c r="V157" s="29" t="str">
        <x:v>Established strategic-risk firm; strong consortium and referral potential.</x:v>
      </x:c>
      <x:c r="W157" s="29" t="str">
        <x:v>Partner-level capability exchange on Ukraine mandates.</x:v>
      </x:c>
      <x:c r="X157" s="29" t="str">
        <x:v>Unassigned</x:v>
      </x:c>
      <x:c r="Y157" s="32" t="n">
        <x:v>46262</x:v>
      </x:c>
      <x:c r="Z157" s="29" t="str">
        <x:v>Not recorded — internal CRM only</x:v>
      </x:c>
      <x:c r="AA157" s="29" t="str">
        <x:v>Phone / closed-group source; human review required</x:v>
      </x:c>
      <x:c r="AB157" s="29" t="str">
        <x:v>Security / risk / resilience; Security, strategic risk and crisis management; Potential partner / referral</x:v>
      </x:c>
      <x:c r="AC157" s="29" t="str"/>
      <x:c r="AD157" s="29" t="str">
        <x:f>E157&amp;" | "&amp;J157&amp;" | "&amp;K157&amp;" | "&amp;F157</x:f>
        <x:v>Charlie Hutchinson | Spearfish Security | Ukraine and Eastern Europe Regional Manager | ‎+380669351736</x:v>
      </x:c>
      <x:c r="AE157" s="31" t="n">
        <x:f>(IF(OR(O157="Confirmed",O157="Confirmed — phone matched"),2,IF(OR(O157="Self-identified",O157="Probable"),1,0))+IF(J157&lt;&gt;"—",1,0)+IF(K157&lt;&gt;"—",1,0)+IF(L157&lt;&gt;"To classify",1,0)+IF(OR(M157&lt;&gt;"",N157&lt;&gt;""),1,0)+IF(H157&lt;&gt;"",1,0)+IF(AB157&lt;&gt;"",1,0)+IF(X157&lt;&gt;"Unassigned",1,0))/9</x:f>
        <x:v>0.7777777777777778</x:v>
      </x:c>
    </x:row>
    <x:row r="158">
      <x:c r="A158" s="45" t="n">
        <x:v>154</x:v>
      </x:c>
      <x:c r="B158" s="29" t="str">
        <x:v>WhatsApp</x:v>
      </x:c>
      <x:c r="C158" s="29" t="str">
        <x:v>ISRM Ukraine</x:v>
      </x:c>
      <x:c r="D158" s="29" t="str">
        <x:v>Chris Mac</x:v>
      </x:c>
      <x:c r="E158" s="29" t="str">
        <x:v>Chris MacLeod (probable)</x:v>
      </x:c>
      <x:c r="F158" s="29" t="str">
        <x:v>‎+380666136245</x:v>
      </x:c>
      <x:c r="G158" s="29" t="str">
        <x:v>Ukraine</x:v>
      </x:c>
      <x:c r="H158" s="29"/>
      <x:c r="I158" s="29"/>
      <x:c r="J158" s="29" t="str">
        <x:v>Independent; formerly World Vision (public match)</x:v>
      </x:c>
      <x:c r="K158" s="29" t="str">
        <x:v>Security professional / freelancer</x:v>
      </x:c>
      <x:c r="L158" s="29" t="str">
        <x:v>Security / risk / resilience</x:v>
      </x:c>
      <x:c r="M158" s="29"/>
      <x:c r="N158" s="29"/>
      <x:c r="O158" s="29" t="str">
        <x:v>Probable</x:v>
      </x:c>
      <x:c r="P158" s="29" t="str">
        <x:v>Medium</x:v>
      </x:c>
      <x:c r="Q158" s="46" t="str">
        <x:v>No</x:v>
      </x:c>
      <x:c r="R158" s="29" t="str">
        <x:v>Institutional partner candidate</x:v>
      </x:c>
      <x:c r="S158" s="29" t="str">
        <x:v>Potential partner / referral</x:v>
      </x:c>
      <x:c r="T158" s="29" t="str">
        <x:v>Match verification pending</x:v>
      </x:c>
      <x:c r="U158" s="29" t="str">
        <x:v>High</x:v>
      </x:c>
      <x:c r="V158" s="29" t="str">
        <x:v>Relevant NGO security experience, but current identity and role require validation.</x:v>
      </x:c>
      <x:c r="W158" s="29" t="str">
        <x:v>Confirm full name and current consultancy before outreach.</x:v>
      </x:c>
      <x:c r="X158" s="29" t="str">
        <x:v>Unassigned</x:v>
      </x:c>
      <x:c r="Y158" s="32" t="n">
        <x:v>46262</x:v>
      </x:c>
      <x:c r="Z158" s="29" t="str">
        <x:v>Not recorded — internal CRM only</x:v>
      </x:c>
      <x:c r="AA158" s="29" t="str">
        <x:v>Phone / closed-group source; human review required</x:v>
      </x:c>
      <x:c r="AB158" s="29" t="str">
        <x:v>Security / risk / resilience; Security, strategic risk and crisis management; Potential partner / referral</x:v>
      </x:c>
      <x:c r="AC158" s="29" t="str">
        <x:v>Chris Mac, Free Lancing ‎Available</x:v>
      </x:c>
      <x:c r="AD158" s="29" t="str">
        <x:f>E158&amp;" | "&amp;J158&amp;" | "&amp;K158&amp;" | "&amp;F158</x:f>
        <x:v>Chris MacLeod (probable) | Independent; formerly World Vision (public match) | Security professional / freelancer | ‎+380666136245</x:v>
      </x:c>
      <x:c r="AE158" s="31" t="n">
        <x:f>(IF(OR(O158="Confirmed",O158="Confirmed — phone matched"),2,IF(OR(O158="Self-identified",O158="Probable"),1,0))+IF(J158&lt;&gt;"—",1,0)+IF(K158&lt;&gt;"—",1,0)+IF(L158&lt;&gt;"To classify",1,0)+IF(OR(M158&lt;&gt;"",N158&lt;&gt;""),1,0)+IF(H158&lt;&gt;"",1,0)+IF(AB158&lt;&gt;"",1,0)+IF(X158&lt;&gt;"Unassigned",1,0))/9</x:f>
        <x:v>0.5555555555555556</x:v>
      </x:c>
    </x:row>
    <x:row r="159">
      <x:c r="A159" s="45" t="n">
        <x:v>155</x:v>
      </x:c>
      <x:c r="B159" s="29" t="str">
        <x:v>WhatsApp</x:v>
      </x:c>
      <x:c r="C159" s="29" t="str">
        <x:v>ISRM Ukraine</x:v>
      </x:c>
      <x:c r="D159" s="29" t="str">
        <x:v>Christian</x:v>
      </x:c>
      <x:c r="E159" s="29" t="str">
        <x:v>Christian (surname unknown)</x:v>
      </x:c>
      <x:c r="F159" s="29" t="str">
        <x:v>‎+380681427924</x:v>
      </x:c>
      <x:c r="G159" s="29" t="str">
        <x:v>Ukraine</x:v>
      </x:c>
      <x:c r="H159" s="29"/>
      <x:c r="I159" s="29"/>
      <x:c r="J159" s="29" t="str">
        <x:v>ISRM Ukraine</x:v>
      </x:c>
      <x:c r="K159" s="29" t="str">
        <x:v>Deputy Events &amp; Membership</x:v>
      </x:c>
      <x:c r="L159" s="29" t="str">
        <x:v>To classify</x:v>
      </x:c>
      <x:c r="M159" s="29"/>
      <x:c r="N159" s="29" t="str">
        <x:v>https://www.theisrm.org/international-chapters/ukraine-chapter/</x:v>
      </x:c>
      <x:c r="O159" s="29" t="str">
        <x:v>Partial</x:v>
      </x:c>
      <x:c r="P159" s="29" t="str">
        <x:v>Medium-high</x:v>
      </x:c>
      <x:c r="Q159" s="46" t="str">
        <x:v>Yes</x:v>
      </x:c>
      <x:c r="R159" s="29" t="str">
        <x:v>Group administrator / community organiser</x:v>
      </x:c>
      <x:c r="S159" s="29" t="str">
        <x:v>Connector / community multiplier</x:v>
      </x:c>
      <x:c r="T159" s="29" t="str">
        <x:v>Identity completion pending</x:v>
      </x:c>
      <x:c r="U159" s="29" t="str">
        <x:v>Medium</x:v>
      </x:c>
      <x:c r="V159" s="29" t="str">
        <x:v>Chapter administration role gives direct access to members and events.</x:v>
      </x:c>
      <x:c r="W159" s="29" t="str">
        <x:v>Resolve surname and coordinate an F&amp;P expert event.</x:v>
      </x:c>
      <x:c r="X159" s="29" t="str">
        <x:v>Unassigned</x:v>
      </x:c>
      <x:c r="Y159" s="32" t="n">
        <x:v>46262</x:v>
      </x:c>
      <x:c r="Z159" s="29" t="str">
        <x:v>Not recorded — internal CRM only</x:v>
      </x:c>
      <x:c r="AA159" s="29" t="str">
        <x:v>Phone / closed-group source; human review required</x:v>
      </x:c>
      <x:c r="AB159" s="29" t="str">
        <x:v>Connector / community multiplier</x:v>
      </x:c>
      <x:c r="AC159" s="29" t="str">
        <x:v>Deputy Events &amp; Membership</x:v>
      </x:c>
      <x:c r="AD159" s="29" t="str">
        <x:f>E159&amp;" | "&amp;J159&amp;" | "&amp;K159&amp;" | "&amp;F159</x:f>
        <x:v>Christian (surname unknown) | ISRM Ukraine | Deputy Events &amp; Membership | ‎+380681427924</x:v>
      </x:c>
      <x:c r="AE159" s="31" t="n">
        <x:f>(IF(OR(O159="Confirmed",O159="Confirmed — phone matched"),2,IF(OR(O159="Self-identified",O159="Probable"),1,0))+IF(J159&lt;&gt;"—",1,0)+IF(K159&lt;&gt;"—",1,0)+IF(L159&lt;&gt;"To classify",1,0)+IF(OR(M159&lt;&gt;"",N159&lt;&gt;""),1,0)+IF(H159&lt;&gt;"",1,0)+IF(AB159&lt;&gt;"",1,0)+IF(X159&lt;&gt;"Unassigned",1,0))/9</x:f>
        <x:v>0.4444444444444444</x:v>
      </x:c>
    </x:row>
    <x:row r="160">
      <x:c r="A160" s="45" t="n">
        <x:v>156</x:v>
      </x:c>
      <x:c r="B160" s="29" t="str">
        <x:v>WhatsApp</x:v>
      </x:c>
      <x:c r="C160" s="29" t="str">
        <x:v>ISRM Ukraine</x:v>
      </x:c>
      <x:c r="D160" s="29" t="str">
        <x:v>CP</x:v>
      </x:c>
      <x:c r="E160" s="29" t="str">
        <x:v>CP (identity unresolved)</x:v>
      </x:c>
      <x:c r="F160" s="29" t="str">
        <x:v>‎+380759209584</x:v>
      </x:c>
      <x:c r="G160" s="29" t="str">
        <x:v>Ukraine</x:v>
      </x:c>
      <x:c r="H160" s="29"/>
      <x:c r="I160" s="29"/>
      <x:c r="J160" s="29" t="str">
        <x:v>—</x:v>
      </x:c>
      <x:c r="K160" s="29" t="str">
        <x:v>—</x:v>
      </x:c>
      <x:c r="L160" s="29" t="str">
        <x:v>To classify</x:v>
      </x:c>
      <x:c r="M160" s="29"/>
      <x:c r="N160" s="29"/>
      <x:c r="O160" s="29" t="str">
        <x:v>Partial</x:v>
      </x:c>
      <x:c r="P160" s="29" t="str">
        <x:v>Low</x:v>
      </x:c>
      <x:c r="Q160" s="46" t="str">
        <x:v>No</x:v>
      </x:c>
      <x:c r="R160" s="29" t="str">
        <x:v>Member / participant</x:v>
      </x:c>
      <x:c r="S160" s="29" t="str">
        <x:v>Unqualified / research pending</x:v>
      </x:c>
      <x:c r="T160" s="29" t="str">
        <x:v>Identity completion pending</x:v>
      </x:c>
      <x:c r="U160" s="29" t="str">
        <x:v>Low</x:v>
      </x:c>
      <x:c r="V160" s="29" t="str">
        <x:v>No reliable commercial signal from the available data.</x:v>
      </x:c>
      <x:c r="W160" s="29" t="str">
        <x:v>Resolve identity and current role through a consensual group-admin or direct-message check before any outreach.</x:v>
      </x:c>
      <x:c r="X160" s="29" t="str">
        <x:v>Unassigned</x:v>
      </x:c>
      <x:c r="Y160" s="32" t="n">
        <x:v>46262</x:v>
      </x:c>
      <x:c r="Z160" s="29" t="str">
        <x:v>Not recorded — internal CRM only</x:v>
      </x:c>
      <x:c r="AA160" s="29" t="str">
        <x:v>Phone / closed-group source; human review required</x:v>
      </x:c>
      <x:c r="AB160" s="29" t="str">
        <x:v>Unqualified / research pending</x:v>
      </x:c>
      <x:c r="AC160" s="29" t="str"/>
      <x:c r="AD160" s="29" t="str">
        <x:f>E160&amp;" | "&amp;J160&amp;" | "&amp;K160&amp;" | "&amp;F160</x:f>
        <x:v>CP (identity unresolved) | — | — | ‎+380759209584</x:v>
      </x:c>
      <x:c r="AE160" s="31" t="n">
        <x:f>(IF(OR(O160="Confirmed",O160="Confirmed — phone matched"),2,IF(OR(O160="Self-identified",O160="Probable"),1,0))+IF(J160&lt;&gt;"—",1,0)+IF(K160&lt;&gt;"—",1,0)+IF(L160&lt;&gt;"To classify",1,0)+IF(OR(M160&lt;&gt;"",N160&lt;&gt;""),1,0)+IF(H160&lt;&gt;"",1,0)+IF(AB160&lt;&gt;"",1,0)+IF(X160&lt;&gt;"Unassigned",1,0))/9</x:f>
        <x:v>0.1111111111111111</x:v>
      </x:c>
    </x:row>
    <x:row r="161">
      <x:c r="A161" s="45" t="n">
        <x:v>157</x:v>
      </x:c>
      <x:c r="B161" s="29" t="str">
        <x:v>WhatsApp</x:v>
      </x:c>
      <x:c r="C161" s="29" t="str">
        <x:v>ISRM Ukraine</x:v>
      </x:c>
      <x:c r="D161" s="29" t="str">
        <x:v>Damon Farrell</x:v>
      </x:c>
      <x:c r="E161" s="29" t="str">
        <x:v>Damon Farrell</x:v>
      </x:c>
      <x:c r="F161" s="29" t="str">
        <x:v>‎+447919534152</x:v>
      </x:c>
      <x:c r="G161" s="29" t="str">
        <x:v>United Kingdom</x:v>
      </x:c>
      <x:c r="H161" s="29"/>
      <x:c r="I161" s="29"/>
      <x:c r="J161" s="29" t="str">
        <x:v>Forward Global Markets / Forward UA</x:v>
      </x:c>
      <x:c r="K161" s="29" t="str">
        <x:v>Founder and CEO</x:v>
      </x:c>
      <x:c r="L161" s="29" t="str">
        <x:v>Business / advisory</x:v>
      </x:c>
      <x:c r="M161" s="29" t="str">
        <x:v>https://uk.linkedin.com/in/damon-kern-farrell-29a34983</x:v>
      </x:c>
      <x:c r="N161" s="29"/>
      <x:c r="O161" s="29" t="str">
        <x:v>Confirmed</x:v>
      </x:c>
      <x:c r="P161" s="29" t="str">
        <x:v>High</x:v>
      </x:c>
      <x:c r="Q161" s="46" t="str">
        <x:v>No</x:v>
      </x:c>
      <x:c r="R161" s="29" t="str">
        <x:v>Member / participant</x:v>
      </x:c>
      <x:c r="S161" s="29" t="str">
        <x:v>Potential client</x:v>
      </x:c>
      <x:c r="T161" s="29" t="str">
        <x:v>Verified profile</x:v>
      </x:c>
      <x:c r="U161" s="29" t="str">
        <x:v>High</x:v>
      </x:c>
      <x:c r="V161" s="29" t="str">
        <x:v>Executive in cross-border markets with Ukraine exposure; strong corporate and regulatory fit.</x:v>
      </x:c>
      <x:c r="W161" s="29" t="str">
        <x:v>Priority partner-led outreach on structuring, regulation and Ukraine transactions.</x:v>
      </x:c>
      <x:c r="X161" s="29" t="str">
        <x:v>Unassigned</x:v>
      </x:c>
      <x:c r="Y161" s="32" t="n">
        <x:v>46262</x:v>
      </x:c>
      <x:c r="Z161" s="29" t="str">
        <x:v>Not recorded — internal CRM only</x:v>
      </x:c>
      <x:c r="AA161" s="29" t="str">
        <x:v>Phone / closed-group source; human review required</x:v>
      </x:c>
      <x:c r="AB161" s="29" t="str">
        <x:v>Business / advisory; Leadership, advisory and business continuity; Potential client</x:v>
      </x:c>
      <x:c r="AC161" s="29" t="str"/>
      <x:c r="AD161" s="29" t="str">
        <x:f>E161&amp;" | "&amp;J161&amp;" | "&amp;K161&amp;" | "&amp;F161</x:f>
        <x:v>Damon Farrell | Forward Global Markets / Forward UA | Founder and CEO | ‎+447919534152</x:v>
      </x:c>
      <x:c r="AE161" s="31" t="n">
        <x:f>(IF(OR(O161="Confirmed",O161="Confirmed — phone matched"),2,IF(OR(O161="Self-identified",O161="Probable"),1,0))+IF(J161&lt;&gt;"—",1,0)+IF(K161&lt;&gt;"—",1,0)+IF(L161&lt;&gt;"To classify",1,0)+IF(OR(M161&lt;&gt;"",N161&lt;&gt;""),1,0)+IF(H161&lt;&gt;"",1,0)+IF(AB161&lt;&gt;"",1,0)+IF(X161&lt;&gt;"Unassigned",1,0))/9</x:f>
        <x:v>0.7777777777777778</x:v>
      </x:c>
    </x:row>
    <x:row r="162">
      <x:c r="A162" s="45" t="n">
        <x:v>158</x:v>
      </x:c>
      <x:c r="B162" s="29" t="str">
        <x:v>WhatsApp</x:v>
      </x:c>
      <x:c r="C162" s="29" t="str">
        <x:v>ISRM Ukraine</x:v>
      </x:c>
      <x:c r="D162" s="29" t="str">
        <x:v>Daniel</x:v>
      </x:c>
      <x:c r="E162" s="29" t="str">
        <x:v>Daniel (surname unknown)</x:v>
      </x:c>
      <x:c r="F162" s="29" t="str">
        <x:v>‎+447517108244</x:v>
      </x:c>
      <x:c r="G162" s="29" t="str">
        <x:v>United Kingdom</x:v>
      </x:c>
      <x:c r="H162" s="29"/>
      <x:c r="I162" s="29"/>
      <x:c r="J162" s="29" t="str">
        <x:v>—</x:v>
      </x:c>
      <x:c r="K162" s="29" t="str">
        <x:v>—</x:v>
      </x:c>
      <x:c r="L162" s="29" t="str">
        <x:v>To classify</x:v>
      </x:c>
      <x:c r="M162" s="29"/>
      <x:c r="N162" s="29"/>
      <x:c r="O162" s="29" t="str">
        <x:v>Partial</x:v>
      </x:c>
      <x:c r="P162" s="29" t="str">
        <x:v>Low</x:v>
      </x:c>
      <x:c r="Q162" s="46" t="str">
        <x:v>No</x:v>
      </x:c>
      <x:c r="R162" s="29" t="str">
        <x:v>Member / participant</x:v>
      </x:c>
      <x:c r="S162" s="29" t="str">
        <x:v>Unqualified / research pending</x:v>
      </x:c>
      <x:c r="T162" s="29" t="str">
        <x:v>Identity completion pending</x:v>
      </x:c>
      <x:c r="U162" s="29" t="str">
        <x:v>Low</x:v>
      </x:c>
      <x:c r="V162" s="29" t="str">
        <x:v>No reliable commercial signal from the available data.</x:v>
      </x:c>
      <x:c r="W162" s="29" t="str">
        <x:v>Resolve identity and current role through a consensual group-admin or direct-message check before any outreach.</x:v>
      </x:c>
      <x:c r="X162" s="29" t="str">
        <x:v>Unassigned</x:v>
      </x:c>
      <x:c r="Y162" s="32" t="n">
        <x:v>46262</x:v>
      </x:c>
      <x:c r="Z162" s="29" t="str">
        <x:v>Not recorded — internal CRM only</x:v>
      </x:c>
      <x:c r="AA162" s="29" t="str">
        <x:v>Phone / closed-group source; human review required</x:v>
      </x:c>
      <x:c r="AB162" s="29" t="str">
        <x:v>Unqualified / research pending</x:v>
      </x:c>
      <x:c r="AC162" s="29" t="str"/>
      <x:c r="AD162" s="29" t="str">
        <x:f>E162&amp;" | "&amp;J162&amp;" | "&amp;K162&amp;" | "&amp;F162</x:f>
        <x:v>Daniel (surname unknown) | — | — | ‎+447517108244</x:v>
      </x:c>
      <x:c r="AE162" s="31" t="n">
        <x:f>(IF(OR(O162="Confirmed",O162="Confirmed — phone matched"),2,IF(OR(O162="Self-identified",O162="Probable"),1,0))+IF(J162&lt;&gt;"—",1,0)+IF(K162&lt;&gt;"—",1,0)+IF(L162&lt;&gt;"To classify",1,0)+IF(OR(M162&lt;&gt;"",N162&lt;&gt;""),1,0)+IF(H162&lt;&gt;"",1,0)+IF(AB162&lt;&gt;"",1,0)+IF(X162&lt;&gt;"Unassigned",1,0))/9</x:f>
        <x:v>0.1111111111111111</x:v>
      </x:c>
    </x:row>
    <x:row r="163">
      <x:c r="A163" s="45" t="n">
        <x:v>159</x:v>
      </x:c>
      <x:c r="B163" s="29" t="str">
        <x:v>WhatsApp</x:v>
      </x:c>
      <x:c r="C163" s="29" t="str">
        <x:v>ISRM Ukraine</x:v>
      </x:c>
      <x:c r="D163" s="29" t="str">
        <x:v>Daria</x:v>
      </x:c>
      <x:c r="E163" s="29" t="str">
        <x:v>Daria (surname unknown)</x:v>
      </x:c>
      <x:c r="F163" s="29" t="str">
        <x:v>‎+380983644253</x:v>
      </x:c>
      <x:c r="G163" s="29" t="str">
        <x:v>Ukraine</x:v>
      </x:c>
      <x:c r="H163" s="29"/>
      <x:c r="I163" s="29"/>
      <x:c r="J163" s="29" t="str">
        <x:v>—</x:v>
      </x:c>
      <x:c r="K163" s="29" t="str">
        <x:v>—</x:v>
      </x:c>
      <x:c r="L163" s="29" t="str">
        <x:v>To classify</x:v>
      </x:c>
      <x:c r="M163" s="29"/>
      <x:c r="N163" s="29"/>
      <x:c r="O163" s="29" t="str">
        <x:v>Partial</x:v>
      </x:c>
      <x:c r="P163" s="29" t="str">
        <x:v>Low</x:v>
      </x:c>
      <x:c r="Q163" s="46" t="str">
        <x:v>No</x:v>
      </x:c>
      <x:c r="R163" s="29" t="str">
        <x:v>Member / participant</x:v>
      </x:c>
      <x:c r="S163" s="29" t="str">
        <x:v>Unqualified / research pending</x:v>
      </x:c>
      <x:c r="T163" s="29" t="str">
        <x:v>Identity completion pending</x:v>
      </x:c>
      <x:c r="U163" s="29" t="str">
        <x:v>Low</x:v>
      </x:c>
      <x:c r="V163" s="29" t="str">
        <x:v>No reliable commercial signal from the available data.</x:v>
      </x:c>
      <x:c r="W163" s="29" t="str">
        <x:v>Resolve identity and current role through a consensual group-admin or direct-message check before any outreach.</x:v>
      </x:c>
      <x:c r="X163" s="29" t="str">
        <x:v>Unassigned</x:v>
      </x:c>
      <x:c r="Y163" s="32" t="n">
        <x:v>46262</x:v>
      </x:c>
      <x:c r="Z163" s="29" t="str">
        <x:v>Not recorded — internal CRM only</x:v>
      </x:c>
      <x:c r="AA163" s="29" t="str">
        <x:v>Phone / closed-group source; human review required</x:v>
      </x:c>
      <x:c r="AB163" s="29" t="str">
        <x:v>Unqualified / research pending</x:v>
      </x:c>
      <x:c r="AC163" s="29" t="str"/>
      <x:c r="AD163" s="29" t="str">
        <x:f>E163&amp;" | "&amp;J163&amp;" | "&amp;K163&amp;" | "&amp;F163</x:f>
        <x:v>Daria (surname unknown) | — | — | ‎+380983644253</x:v>
      </x:c>
      <x:c r="AE163" s="31" t="n">
        <x:f>(IF(OR(O163="Confirmed",O163="Confirmed — phone matched"),2,IF(OR(O163="Self-identified",O163="Probable"),1,0))+IF(J163&lt;&gt;"—",1,0)+IF(K163&lt;&gt;"—",1,0)+IF(L163&lt;&gt;"To classify",1,0)+IF(OR(M163&lt;&gt;"",N163&lt;&gt;""),1,0)+IF(H163&lt;&gt;"",1,0)+IF(AB163&lt;&gt;"",1,0)+IF(X163&lt;&gt;"Unassigned",1,0))/9</x:f>
        <x:v>0.1111111111111111</x:v>
      </x:c>
    </x:row>
    <x:row r="164">
      <x:c r="A164" s="45" t="n">
        <x:v>160</x:v>
      </x:c>
      <x:c r="B164" s="29" t="str">
        <x:v>WhatsApp</x:v>
      </x:c>
      <x:c r="C164" s="29" t="str">
        <x:v>ISRM Ukraine</x:v>
      </x:c>
      <x:c r="D164" s="29" t="str">
        <x:v>David Anomaly Tac Med</x:v>
      </x:c>
      <x:c r="E164" s="29" t="str">
        <x:v>David Plaster</x:v>
      </x:c>
      <x:c r="F164" s="29" t="str">
        <x:v>‎+380688675309</x:v>
      </x:c>
      <x:c r="G164" s="29" t="str">
        <x:v>Ukraine</x:v>
      </x:c>
      <x:c r="H164" s="29"/>
      <x:c r="I164" s="29"/>
      <x:c r="J164" s="29" t="str">
        <x:v>Anomaly / Kyiv Center for Defense Policy</x:v>
      </x:c>
      <x:c r="K164" s="29" t="str">
        <x:v>Founder and Chairman; co-founder</x:v>
      </x:c>
      <x:c r="L164" s="29" t="str">
        <x:v>Media / communications</x:v>
      </x:c>
      <x:c r="M164" s="29"/>
      <x:c r="N164" s="29" t="str">
        <x:v>https://anomaly.org.ua/about/</x:v>
      </x:c>
      <x:c r="O164" s="29" t="str">
        <x:v>Confirmed</x:v>
      </x:c>
      <x:c r="P164" s="29" t="str">
        <x:v>High</x:v>
      </x:c>
      <x:c r="Q164" s="46" t="str">
        <x:v>No</x:v>
      </x:c>
      <x:c r="R164" s="29" t="str">
        <x:v>Member / participant</x:v>
      </x:c>
      <x:c r="S164" s="29" t="str">
        <x:v>Potential client</x:v>
      </x:c>
      <x:c r="T164" s="29" t="str">
        <x:v>Verified profile</x:v>
      </x:c>
      <x:c r="U164" s="29" t="str">
        <x:v>High</x:v>
      </x:c>
      <x:c r="V164" s="29" t="str">
        <x:v>Ukraine medical/nonprofit organization with governance, contracting and compliance needs.</x:v>
      </x:c>
      <x:c r="W164" s="29" t="str">
        <x:v>Tailored outreach around nonprofit governance and medical-programme legal risk.</x:v>
      </x:c>
      <x:c r="X164" s="29" t="str">
        <x:v>Unassigned</x:v>
      </x:c>
      <x:c r="Y164" s="32" t="n">
        <x:v>46262</x:v>
      </x:c>
      <x:c r="Z164" s="29" t="str">
        <x:v>Not recorded — internal CRM only</x:v>
      </x:c>
      <x:c r="AA164" s="29" t="str">
        <x:v>Phone / closed-group source; human review required</x:v>
      </x:c>
      <x:c r="AB164" s="29" t="str">
        <x:v>Media / communications; Crisis communications and information environment; Potential client</x:v>
      </x:c>
      <x:c r="AC164" s="29" t="str">
        <x:v>Comms Lead</x:v>
      </x:c>
      <x:c r="AD164" s="29" t="str">
        <x:f>E164&amp;" | "&amp;J164&amp;" | "&amp;K164&amp;" | "&amp;F164</x:f>
        <x:v>David Plaster | Anomaly / Kyiv Center for Defense Policy | Founder and Chairman; co-founder | ‎+380688675309</x:v>
      </x:c>
      <x:c r="AE164" s="31" t="n">
        <x:f>(IF(OR(O164="Confirmed",O164="Confirmed — phone matched"),2,IF(OR(O164="Self-identified",O164="Probable"),1,0))+IF(J164&lt;&gt;"—",1,0)+IF(K164&lt;&gt;"—",1,0)+IF(L164&lt;&gt;"To classify",1,0)+IF(OR(M164&lt;&gt;"",N164&lt;&gt;""),1,0)+IF(H164&lt;&gt;"",1,0)+IF(AB164&lt;&gt;"",1,0)+IF(X164&lt;&gt;"Unassigned",1,0))/9</x:f>
        <x:v>0.7777777777777778</x:v>
      </x:c>
    </x:row>
    <x:row r="165">
      <x:c r="A165" s="45" t="n">
        <x:v>161</x:v>
      </x:c>
      <x:c r="B165" s="29" t="str">
        <x:v>WhatsApp</x:v>
      </x:c>
      <x:c r="C165" s="29" t="str">
        <x:v>ISRM Ukraine</x:v>
      </x:c>
      <x:c r="D165" s="29" t="str">
        <x:v>David Francis Blanc</x:v>
      </x:c>
      <x:c r="E165" s="29" t="str">
        <x:v>David Francis Blanc</x:v>
      </x:c>
      <x:c r="F165" s="29" t="str">
        <x:v>‎+380688474872</x:v>
      </x:c>
      <x:c r="G165" s="29" t="str">
        <x:v>Ukraine</x:v>
      </x:c>
      <x:c r="H165" s="29"/>
      <x:c r="I165" s="29"/>
      <x:c r="J165" s="29" t="str">
        <x:v>Independent</x:v>
      </x:c>
      <x:c r="K165" s="29" t="str">
        <x:v>Writer; former soldier and police officer</x:v>
      </x:c>
      <x:c r="L165" s="29" t="str">
        <x:v>To classify</x:v>
      </x:c>
      <x:c r="M165" s="29"/>
      <x:c r="N165" s="29" t="str">
        <x:v>https://medium.com/@davidfrancisblanc_37502/trump-whats-his-deal-a9891b8d5394</x:v>
      </x:c>
      <x:c r="O165" s="29" t="str">
        <x:v>Confirmed</x:v>
      </x:c>
      <x:c r="P165" s="29" t="str">
        <x:v>High</x:v>
      </x:c>
      <x:c r="Q165" s="46" t="str">
        <x:v>No</x:v>
      </x:c>
      <x:c r="R165" s="29" t="str">
        <x:v>Member / participant</x:v>
      </x:c>
      <x:c r="S165" s="29" t="str">
        <x:v>Member / verify</x:v>
      </x:c>
      <x:c r="T165" s="29" t="str">
        <x:v>Verified profile</x:v>
      </x:c>
      <x:c r="U165" s="29" t="str">
        <x:v>Medium</x:v>
      </x:c>
      <x:c r="V165" s="29" t="str">
        <x:v>Ukraine-based commentator and network contact; weak direct buyer signal.</x:v>
      </x:c>
      <x:c r="W165" s="29" t="str">
        <x:v>Keep as expert/media connector; no generic sales outreach.</x:v>
      </x:c>
      <x:c r="X165" s="29" t="str">
        <x:v>Unassigned</x:v>
      </x:c>
      <x:c r="Y165" s="32" t="n">
        <x:v>46262</x:v>
      </x:c>
      <x:c r="Z165" s="29" t="str">
        <x:v>Not recorded — internal CRM only</x:v>
      </x:c>
      <x:c r="AA165" s="29" t="str">
        <x:v>Phone / closed-group source; human review required</x:v>
      </x:c>
      <x:c r="AB165" s="29" t="str">
        <x:v>Member / verify</x:v>
      </x:c>
      <x:c r="AC165" s="29" t="str">
        <x:v>DFB USA Ivy League MA</x:v>
      </x:c>
      <x:c r="AD165" s="29" t="str">
        <x:f>E165&amp;" | "&amp;J165&amp;" | "&amp;K165&amp;" | "&amp;F165</x:f>
        <x:v>David Francis Blanc | Independent | Writer; former soldier and police officer | ‎+380688474872</x:v>
      </x:c>
      <x:c r="AE165" s="31" t="n">
        <x:f>(IF(OR(O165="Confirmed",O165="Confirmed — phone matched"),2,IF(OR(O165="Self-identified",O165="Probable"),1,0))+IF(J165&lt;&gt;"—",1,0)+IF(K165&lt;&gt;"—",1,0)+IF(L165&lt;&gt;"To classify",1,0)+IF(OR(M165&lt;&gt;"",N165&lt;&gt;""),1,0)+IF(H165&lt;&gt;"",1,0)+IF(AB165&lt;&gt;"",1,0)+IF(X165&lt;&gt;"Unassigned",1,0))/9</x:f>
        <x:v>0.6666666666666666</x:v>
      </x:c>
    </x:row>
    <x:row r="166">
      <x:c r="A166" s="45" t="n">
        <x:v>162</x:v>
      </x:c>
      <x:c r="B166" s="29" t="str">
        <x:v>WhatsApp</x:v>
      </x:c>
      <x:c r="C166" s="29" t="str">
        <x:v>ISRM Ukraine</x:v>
      </x:c>
      <x:c r="D166" s="29" t="str">
        <x:v>David Rubens</x:v>
      </x:c>
      <x:c r="E166" s="29" t="str">
        <x:v>David Rubens</x:v>
      </x:c>
      <x:c r="F166" s="29" t="str">
        <x:v>‎+447956165031</x:v>
      </x:c>
      <x:c r="G166" s="29" t="str">
        <x:v>United Kingdom</x:v>
      </x:c>
      <x:c r="H166" s="29"/>
      <x:c r="I166" s="29"/>
      <x:c r="J166" s="29" t="str">
        <x:v>Institute of Strategic Risk Management</x:v>
      </x:c>
      <x:c r="K166" s="29" t="str">
        <x:v>Founder and Executive Director</x:v>
      </x:c>
      <x:c r="L166" s="29" t="str">
        <x:v>Business / advisory</x:v>
      </x:c>
      <x:c r="M166" s="29"/>
      <x:c r="N166" s="29" t="str">
        <x:v>https://www.theisrm.org/ongoing-isrm-support-for-ukraine/</x:v>
      </x:c>
      <x:c r="O166" s="29" t="str">
        <x:v>Confirmed</x:v>
      </x:c>
      <x:c r="P166" s="29" t="str">
        <x:v>High</x:v>
      </x:c>
      <x:c r="Q166" s="46" t="str">
        <x:v>No</x:v>
      </x:c>
      <x:c r="R166" s="29" t="str">
        <x:v>Chapter team / community organiser</x:v>
      </x:c>
      <x:c r="S166" s="29" t="str">
        <x:v>Potential partner / referral</x:v>
      </x:c>
      <x:c r="T166" s="29" t="str">
        <x:v>Verified profile</x:v>
      </x:c>
      <x:c r="U166" s="29" t="str">
        <x:v>High</x:v>
      </x:c>
      <x:c r="V166" s="29" t="str">
        <x:v>Senior global risk-network leader; high-value institutional partnership route.</x:v>
      </x:c>
      <x:c r="W166" s="29" t="str">
        <x:v>Senior-level discussion on referral channels, joint events and Ukraine mandates.</x:v>
      </x:c>
      <x:c r="X166" s="29" t="str">
        <x:v>Unassigned</x:v>
      </x:c>
      <x:c r="Y166" s="32" t="n">
        <x:v>46262</x:v>
      </x:c>
      <x:c r="Z166" s="29" t="str">
        <x:v>Not recorded — internal CRM only</x:v>
      </x:c>
      <x:c r="AA166" s="29" t="str">
        <x:v>Phone / closed-group source; human review required</x:v>
      </x:c>
      <x:c r="AB166" s="29" t="str">
        <x:v>Business / advisory; Leadership, advisory and business continuity; Potential partner / referral</x:v>
      </x:c>
      <x:c r="AC166" s="29" t="str">
        <x:v>David Rubens</x:v>
      </x:c>
      <x:c r="AD166" s="29" t="str">
        <x:f>E166&amp;" | "&amp;J166&amp;" | "&amp;K166&amp;" | "&amp;F166</x:f>
        <x:v>David Rubens | Institute of Strategic Risk Management | Founder and Executive Director | ‎+447956165031</x:v>
      </x:c>
      <x:c r="AE166" s="31" t="n">
        <x:f>(IF(OR(O166="Confirmed",O166="Confirmed — phone matched"),2,IF(OR(O166="Self-identified",O166="Probable"),1,0))+IF(J166&lt;&gt;"—",1,0)+IF(K166&lt;&gt;"—",1,0)+IF(L166&lt;&gt;"To classify",1,0)+IF(OR(M166&lt;&gt;"",N166&lt;&gt;""),1,0)+IF(H166&lt;&gt;"",1,0)+IF(AB166&lt;&gt;"",1,0)+IF(X166&lt;&gt;"Unassigned",1,0))/9</x:f>
        <x:v>0.7777777777777778</x:v>
      </x:c>
    </x:row>
    <x:row r="167">
      <x:c r="A167" s="45" t="n">
        <x:v>163</x:v>
      </x:c>
      <x:c r="B167" s="29" t="str">
        <x:v>WhatsApp</x:v>
      </x:c>
      <x:c r="C167" s="29" t="str">
        <x:v>ISRM Ukraine</x:v>
      </x:c>
      <x:c r="D167" s="29" t="str">
        <x:v>DD</x:v>
      </x:c>
      <x:c r="E167" s="29" t="str">
        <x:v>DD (identity unresolved)</x:v>
      </x:c>
      <x:c r="F167" s="29" t="str">
        <x:v>‎+380661232313</x:v>
      </x:c>
      <x:c r="G167" s="29" t="str">
        <x:v>Ukraine</x:v>
      </x:c>
      <x:c r="H167" s="29"/>
      <x:c r="I167" s="29"/>
      <x:c r="J167" s="29" t="str">
        <x:v>—</x:v>
      </x:c>
      <x:c r="K167" s="29" t="str">
        <x:v>—</x:v>
      </x:c>
      <x:c r="L167" s="29" t="str">
        <x:v>To classify</x:v>
      </x:c>
      <x:c r="M167" s="29"/>
      <x:c r="N167" s="29"/>
      <x:c r="O167" s="29" t="str">
        <x:v>Partial</x:v>
      </x:c>
      <x:c r="P167" s="29" t="str">
        <x:v>Low</x:v>
      </x:c>
      <x:c r="Q167" s="46" t="str">
        <x:v>No</x:v>
      </x:c>
      <x:c r="R167" s="29" t="str">
        <x:v>Member / participant</x:v>
      </x:c>
      <x:c r="S167" s="29" t="str">
        <x:v>Unqualified / research pending</x:v>
      </x:c>
      <x:c r="T167" s="29" t="str">
        <x:v>Identity completion pending</x:v>
      </x:c>
      <x:c r="U167" s="29" t="str">
        <x:v>Low</x:v>
      </x:c>
      <x:c r="V167" s="29" t="str">
        <x:v>No reliable commercial signal from the available data.</x:v>
      </x:c>
      <x:c r="W167" s="29" t="str">
        <x:v>Resolve identity and current role through a consensual group-admin or direct-message check before any outreach.</x:v>
      </x:c>
      <x:c r="X167" s="29" t="str">
        <x:v>Unassigned</x:v>
      </x:c>
      <x:c r="Y167" s="32" t="n">
        <x:v>46262</x:v>
      </x:c>
      <x:c r="Z167" s="29" t="str">
        <x:v>Not recorded — internal CRM only</x:v>
      </x:c>
      <x:c r="AA167" s="29" t="str">
        <x:v>Phone / closed-group source; human review required</x:v>
      </x:c>
      <x:c r="AB167" s="29" t="str">
        <x:v>Unqualified / research pending</x:v>
      </x:c>
      <x:c r="AC167" s="29" t="str"/>
      <x:c r="AD167" s="29" t="str">
        <x:f>E167&amp;" | "&amp;J167&amp;" | "&amp;K167&amp;" | "&amp;F167</x:f>
        <x:v>DD (identity unresolved) | — | — | ‎+380661232313</x:v>
      </x:c>
      <x:c r="AE167" s="31" t="n">
        <x:f>(IF(OR(O167="Confirmed",O167="Confirmed — phone matched"),2,IF(OR(O167="Self-identified",O167="Probable"),1,0))+IF(J167&lt;&gt;"—",1,0)+IF(K167&lt;&gt;"—",1,0)+IF(L167&lt;&gt;"To classify",1,0)+IF(OR(M167&lt;&gt;"",N167&lt;&gt;""),1,0)+IF(H167&lt;&gt;"",1,0)+IF(AB167&lt;&gt;"",1,0)+IF(X167&lt;&gt;"Unassigned",1,0))/9</x:f>
        <x:v>0.1111111111111111</x:v>
      </x:c>
    </x:row>
    <x:row r="168">
      <x:c r="A168" s="45" t="n">
        <x:v>164</x:v>
      </x:c>
      <x:c r="B168" s="29" t="str">
        <x:v>WhatsApp</x:v>
      </x:c>
      <x:c r="C168" s="29" t="str">
        <x:v>ISRM Ukraine</x:v>
      </x:c>
      <x:c r="D168" s="29" t="str">
        <x:v>Dmytro Drizhd</x:v>
      </x:c>
      <x:c r="E168" s="29" t="str">
        <x:v>Dmytro Drizhd</x:v>
      </x:c>
      <x:c r="F168" s="29" t="str">
        <x:v>‎+380501979941</x:v>
      </x:c>
      <x:c r="G168" s="29" t="str">
        <x:v>Ukraine</x:v>
      </x:c>
      <x:c r="H168" s="29"/>
      <x:c r="I168" s="29"/>
      <x:c r="J168" s="29" t="str">
        <x:v>Independent / humanitarian sector</x:v>
      </x:c>
      <x:c r="K168" s="29" t="str">
        <x:v>Former Head of Mission, arche noVa Ukraine</x:v>
      </x:c>
      <x:c r="L168" s="29" t="str">
        <x:v>Business / advisory</x:v>
      </x:c>
      <x:c r="M168" s="29" t="str">
        <x:v>https://www.linkedin.com/posts/dmytro-drizhd-3599aa18a_today-is-my-last-working-day-as-head-of-mission-activity-7423027456070070272-uVvc</x:v>
      </x:c>
      <x:c r="N168" s="29"/>
      <x:c r="O168" s="29" t="str">
        <x:v>Confirmed</x:v>
      </x:c>
      <x:c r="P168" s="29" t="str">
        <x:v>High</x:v>
      </x:c>
      <x:c r="Q168" s="46" t="str">
        <x:v>No</x:v>
      </x:c>
      <x:c r="R168" s="29" t="str">
        <x:v>Connector / community multiplier</x:v>
      </x:c>
      <x:c r="S168" s="29" t="str">
        <x:v>Connector / community multiplier</x:v>
      </x:c>
      <x:c r="T168" s="29" t="str">
        <x:v>Verified profile</x:v>
      </x:c>
      <x:c r="U168" s="29" t="str">
        <x:v>Medium</x:v>
      </x:c>
      <x:c r="V168" s="29" t="str">
        <x:v>Recent country-lead experience and NGO network; current employer must be updated.</x:v>
      </x:c>
      <x:c r="W168" s="29" t="str">
        <x:v>Reconnect to learn current role and seek warm introductions.</x:v>
      </x:c>
      <x:c r="X168" s="29" t="str">
        <x:v>Unassigned</x:v>
      </x:c>
      <x:c r="Y168" s="32" t="n">
        <x:v>46262</x:v>
      </x:c>
      <x:c r="Z168" s="29" t="str">
        <x:v>Not recorded — internal CRM only</x:v>
      </x:c>
      <x:c r="AA168" s="29" t="str">
        <x:v>Phone / closed-group source; human review required</x:v>
      </x:c>
      <x:c r="AB168" s="29" t="str">
        <x:v>Business / advisory; Leadership, advisory and business continuity; Connector / community multiplier</x:v>
      </x:c>
      <x:c r="AC168" s="29" t="str">
        <x:v>Dmytro, Interim CD arche nova</x:v>
      </x:c>
      <x:c r="AD168" s="29" t="str">
        <x:f>E168&amp;" | "&amp;J168&amp;" | "&amp;K168&amp;" | "&amp;F168</x:f>
        <x:v>Dmytro Drizhd | Independent / humanitarian sector | Former Head of Mission, arche noVa Ukraine | ‎+380501979941</x:v>
      </x:c>
      <x:c r="AE168" s="31" t="n">
        <x:f>(IF(OR(O168="Confirmed",O168="Confirmed — phone matched"),2,IF(OR(O168="Self-identified",O168="Probable"),1,0))+IF(J168&lt;&gt;"—",1,0)+IF(K168&lt;&gt;"—",1,0)+IF(L168&lt;&gt;"To classify",1,0)+IF(OR(M168&lt;&gt;"",N168&lt;&gt;""),1,0)+IF(H168&lt;&gt;"",1,0)+IF(AB168&lt;&gt;"",1,0)+IF(X168&lt;&gt;"Unassigned",1,0))/9</x:f>
        <x:v>0.7777777777777778</x:v>
      </x:c>
    </x:row>
    <x:row r="169">
      <x:c r="A169" s="45" t="n">
        <x:v>165</x:v>
      </x:c>
      <x:c r="B169" s="29" t="str">
        <x:v>WhatsApp</x:v>
      </x:c>
      <x:c r="C169" s="29" t="str">
        <x:v>ISRM Ukraine</x:v>
      </x:c>
      <x:c r="D169" s="29" t="str">
        <x:v>Elena</x:v>
      </x:c>
      <x:c r="E169" s="29" t="str">
        <x:v>Elena (surname unknown)</x:v>
      </x:c>
      <x:c r="F169" s="29" t="str">
        <x:v>‎+380664435735</x:v>
      </x:c>
      <x:c r="G169" s="29" t="str">
        <x:v>Ukraine</x:v>
      </x:c>
      <x:c r="H169" s="29"/>
      <x:c r="I169" s="29"/>
      <x:c r="J169" s="29" t="str">
        <x:v>—</x:v>
      </x:c>
      <x:c r="K169" s="29" t="str">
        <x:v>—</x:v>
      </x:c>
      <x:c r="L169" s="29" t="str">
        <x:v>To classify</x:v>
      </x:c>
      <x:c r="M169" s="29"/>
      <x:c r="N169" s="29"/>
      <x:c r="O169" s="29" t="str">
        <x:v>Partial</x:v>
      </x:c>
      <x:c r="P169" s="29" t="str">
        <x:v>Low</x:v>
      </x:c>
      <x:c r="Q169" s="46" t="str">
        <x:v>No</x:v>
      </x:c>
      <x:c r="R169" s="29" t="str">
        <x:v>Member / participant</x:v>
      </x:c>
      <x:c r="S169" s="29" t="str">
        <x:v>Unqualified / research pending</x:v>
      </x:c>
      <x:c r="T169" s="29" t="str">
        <x:v>Identity completion pending</x:v>
      </x:c>
      <x:c r="U169" s="29" t="str">
        <x:v>Low</x:v>
      </x:c>
      <x:c r="V169" s="29" t="str">
        <x:v>No reliable commercial signal from the available data.</x:v>
      </x:c>
      <x:c r="W169" s="29" t="str">
        <x:v>Resolve identity and current role through a consensual group-admin or direct-message check before any outreach.</x:v>
      </x:c>
      <x:c r="X169" s="29" t="str">
        <x:v>Unassigned</x:v>
      </x:c>
      <x:c r="Y169" s="32" t="n">
        <x:v>46262</x:v>
      </x:c>
      <x:c r="Z169" s="29" t="str">
        <x:v>Not recorded — internal CRM only</x:v>
      </x:c>
      <x:c r="AA169" s="29" t="str">
        <x:v>Phone / closed-group source; human review required</x:v>
      </x:c>
      <x:c r="AB169" s="29" t="str">
        <x:v>Unqualified / research pending</x:v>
      </x:c>
      <x:c r="AC169" s="29" t="str"/>
      <x:c r="AD169" s="29" t="str">
        <x:f>E169&amp;" | "&amp;J169&amp;" | "&amp;K169&amp;" | "&amp;F169</x:f>
        <x:v>Elena (surname unknown) | — | — | ‎+380664435735</x:v>
      </x:c>
      <x:c r="AE169" s="31" t="n">
        <x:f>(IF(OR(O169="Confirmed",O169="Confirmed — phone matched"),2,IF(OR(O169="Self-identified",O169="Probable"),1,0))+IF(J169&lt;&gt;"—",1,0)+IF(K169&lt;&gt;"—",1,0)+IF(L169&lt;&gt;"To classify",1,0)+IF(OR(M169&lt;&gt;"",N169&lt;&gt;""),1,0)+IF(H169&lt;&gt;"",1,0)+IF(AB169&lt;&gt;"",1,0)+IF(X169&lt;&gt;"Unassigned",1,0))/9</x:f>
        <x:v>0.1111111111111111</x:v>
      </x:c>
    </x:row>
    <x:row r="170">
      <x:c r="A170" s="45" t="n">
        <x:v>166</x:v>
      </x:c>
      <x:c r="B170" s="29" t="str">
        <x:v>WhatsApp</x:v>
      </x:c>
      <x:c r="C170" s="29" t="str">
        <x:v>ISRM Ukraine</x:v>
      </x:c>
      <x:c r="D170" s="29" t="str">
        <x:v>Ermina Strutinschi</x:v>
      </x:c>
      <x:c r="E170" s="29" t="str">
        <x:v>Ermina Strutinschi</x:v>
      </x:c>
      <x:c r="F170" s="29" t="str">
        <x:v>‎+40753036072</x:v>
      </x:c>
      <x:c r="G170" s="29" t="str">
        <x:v>Romania</x:v>
      </x:c>
      <x:c r="H170" s="29"/>
      <x:c r="I170" s="29"/>
      <x:c r="J170" s="29" t="str">
        <x:v>Vesper Group Ukraine</x:v>
      </x:c>
      <x:c r="K170" s="29" t="str">
        <x:v>Kyiv-based Analyst</x:v>
      </x:c>
      <x:c r="L170" s="29" t="str">
        <x:v>To classify</x:v>
      </x:c>
      <x:c r="M170" s="29"/>
      <x:c r="N170" s="29" t="str">
        <x:v>https://vespergroup.se/en/security-and-safety-achieving-business-goals-in-ukraine/</x:v>
      </x:c>
      <x:c r="O170" s="29" t="str">
        <x:v>Confirmed</x:v>
      </x:c>
      <x:c r="P170" s="29" t="str">
        <x:v>High</x:v>
      </x:c>
      <x:c r="Q170" s="46" t="str">
        <x:v>No</x:v>
      </x:c>
      <x:c r="R170" s="29" t="str">
        <x:v>Institutional partner candidate</x:v>
      </x:c>
      <x:c r="S170" s="29" t="str">
        <x:v>Potential partner / referral</x:v>
      </x:c>
      <x:c r="T170" s="29" t="str">
        <x:v>Verified profile</x:v>
      </x:c>
      <x:c r="U170" s="29" t="str">
        <x:v>High</x:v>
      </x:c>
      <x:c r="V170" s="29" t="str">
        <x:v>Analyst in an established security advisory firm; strong collaboration fit.</x:v>
      </x:c>
      <x:c r="W170" s="29" t="str">
        <x:v>Propose complementary legal/investigations support on Ukraine mandates.</x:v>
      </x:c>
      <x:c r="X170" s="29" t="str">
        <x:v>Unassigned</x:v>
      </x:c>
      <x:c r="Y170" s="32" t="n">
        <x:v>46262</x:v>
      </x:c>
      <x:c r="Z170" s="29" t="str">
        <x:v>Not recorded — internal CRM only</x:v>
      </x:c>
      <x:c r="AA170" s="29" t="str">
        <x:v>Phone / closed-group source; human review required</x:v>
      </x:c>
      <x:c r="AB170" s="29" t="str">
        <x:v>Potential partner / referral</x:v>
      </x:c>
      <x:c r="AC170" s="29" t="str">
        <x:v>Analyst Vesper Group Ukraine</x:v>
      </x:c>
      <x:c r="AD170" s="29" t="str">
        <x:f>E170&amp;" | "&amp;J170&amp;" | "&amp;K170&amp;" | "&amp;F170</x:f>
        <x:v>Ermina Strutinschi | Vesper Group Ukraine | Kyiv-based Analyst | ‎+40753036072</x:v>
      </x:c>
      <x:c r="AE170" s="31" t="n">
        <x:f>(IF(OR(O170="Confirmed",O170="Confirmed — phone matched"),2,IF(OR(O170="Self-identified",O170="Probable"),1,0))+IF(J170&lt;&gt;"—",1,0)+IF(K170&lt;&gt;"—",1,0)+IF(L170&lt;&gt;"To classify",1,0)+IF(OR(M170&lt;&gt;"",N170&lt;&gt;""),1,0)+IF(H170&lt;&gt;"",1,0)+IF(AB170&lt;&gt;"",1,0)+IF(X170&lt;&gt;"Unassigned",1,0))/9</x:f>
        <x:v>0.6666666666666666</x:v>
      </x:c>
    </x:row>
    <x:row r="171">
      <x:c r="A171" s="45" t="n">
        <x:v>167</x:v>
      </x:c>
      <x:c r="B171" s="29" t="str">
        <x:v>WhatsApp</x:v>
      </x:c>
      <x:c r="C171" s="29" t="str">
        <x:v>ISRM Ukraine</x:v>
      </x:c>
      <x:c r="D171" s="29" t="str">
        <x:v>Evgenija Tkachuk</x:v>
      </x:c>
      <x:c r="E171" s="29" t="str">
        <x:v>Evgenija Tkachuk</x:v>
      </x:c>
      <x:c r="F171" s="29" t="str">
        <x:v>‎+380965729292</x:v>
      </x:c>
      <x:c r="G171" s="29" t="str">
        <x:v>Ukraine</x:v>
      </x:c>
      <x:c r="H171" s="29"/>
      <x:c r="I171" s="29"/>
      <x:c r="J171" s="29" t="str">
        <x:v>—</x:v>
      </x:c>
      <x:c r="K171" s="29" t="str">
        <x:v>—</x:v>
      </x:c>
      <x:c r="L171" s="29" t="str">
        <x:v>To classify</x:v>
      </x:c>
      <x:c r="M171" s="29"/>
      <x:c r="N171" s="29"/>
      <x:c r="O171" s="29" t="str">
        <x:v>Self-identified</x:v>
      </x:c>
      <x:c r="P171" s="29" t="str">
        <x:v>Medium</x:v>
      </x:c>
      <x:c r="Q171" s="46" t="str">
        <x:v>No</x:v>
      </x:c>
      <x:c r="R171" s="29" t="str">
        <x:v>Member / participant</x:v>
      </x:c>
      <x:c r="S171" s="29" t="str">
        <x:v>Unqualified / research pending</x:v>
      </x:c>
      <x:c r="T171" s="29" t="str">
        <x:v>Identity stated; professional verification pending</x:v>
      </x:c>
      <x:c r="U171" s="29" t="str">
        <x:v>Low</x:v>
      </x:c>
      <x:c r="V171" s="29" t="str">
        <x:v>No reliable commercial signal from the available data.</x:v>
      </x:c>
      <x:c r="W171" s="29" t="str">
        <x:v>Resolve identity and current role through a consensual group-admin or direct-message check before any outreach.</x:v>
      </x:c>
      <x:c r="X171" s="29" t="str">
        <x:v>Unassigned</x:v>
      </x:c>
      <x:c r="Y171" s="32" t="n">
        <x:v>46262</x:v>
      </x:c>
      <x:c r="Z171" s="29" t="str">
        <x:v>Not recorded — internal CRM only</x:v>
      </x:c>
      <x:c r="AA171" s="29" t="str">
        <x:v>Phone / closed-group source; human review required</x:v>
      </x:c>
      <x:c r="AB171" s="29" t="str">
        <x:v>Unqualified / research pending</x:v>
      </x:c>
      <x:c r="AC171" s="29" t="str"/>
      <x:c r="AD171" s="29" t="str">
        <x:f>E171&amp;" | "&amp;J171&amp;" | "&amp;K171&amp;" | "&amp;F171</x:f>
        <x:v>Evgenija Tkachuk | — | — | ‎+380965729292</x:v>
      </x:c>
      <x:c r="AE171" s="31" t="n">
        <x:f>(IF(OR(O171="Confirmed",O171="Confirmed — phone matched"),2,IF(OR(O171="Self-identified",O171="Probable"),1,0))+IF(J171&lt;&gt;"—",1,0)+IF(K171&lt;&gt;"—",1,0)+IF(L171&lt;&gt;"To classify",1,0)+IF(OR(M171&lt;&gt;"",N171&lt;&gt;""),1,0)+IF(H171&lt;&gt;"",1,0)+IF(AB171&lt;&gt;"",1,0)+IF(X171&lt;&gt;"Unassigned",1,0))/9</x:f>
        <x:v>0.2222222222222222</x:v>
      </x:c>
    </x:row>
    <x:row r="172">
      <x:c r="A172" s="45" t="n">
        <x:v>168</x:v>
      </x:c>
      <x:c r="B172" s="29" t="str">
        <x:v>WhatsApp</x:v>
      </x:c>
      <x:c r="C172" s="29" t="str">
        <x:v>ISRM Ukraine</x:v>
      </x:c>
      <x:c r="D172" s="29" t="str">
        <x:v>Geoff</x:v>
      </x:c>
      <x:c r="E172" s="29" t="str">
        <x:v>Geoff (surname unknown)</x:v>
      </x:c>
      <x:c r="F172" s="29" t="str">
        <x:v>‎+447527808915</x:v>
      </x:c>
      <x:c r="G172" s="29" t="str">
        <x:v>United Kingdom</x:v>
      </x:c>
      <x:c r="H172" s="29"/>
      <x:c r="I172" s="29"/>
      <x:c r="J172" s="29" t="str">
        <x:v>—</x:v>
      </x:c>
      <x:c r="K172" s="29" t="str">
        <x:v>—</x:v>
      </x:c>
      <x:c r="L172" s="29" t="str">
        <x:v>To classify</x:v>
      </x:c>
      <x:c r="M172" s="29"/>
      <x:c r="N172" s="29"/>
      <x:c r="O172" s="29" t="str">
        <x:v>Partial</x:v>
      </x:c>
      <x:c r="P172" s="29" t="str">
        <x:v>Low</x:v>
      </x:c>
      <x:c r="Q172" s="46" t="str">
        <x:v>No</x:v>
      </x:c>
      <x:c r="R172" s="29" t="str">
        <x:v>Member / participant</x:v>
      </x:c>
      <x:c r="S172" s="29" t="str">
        <x:v>Unqualified / research pending</x:v>
      </x:c>
      <x:c r="T172" s="29" t="str">
        <x:v>Identity completion pending</x:v>
      </x:c>
      <x:c r="U172" s="29" t="str">
        <x:v>Low</x:v>
      </x:c>
      <x:c r="V172" s="29" t="str">
        <x:v>No reliable commercial signal from the available data.</x:v>
      </x:c>
      <x:c r="W172" s="29" t="str">
        <x:v>Resolve identity and current role through a consensual group-admin or direct-message check before any outreach.</x:v>
      </x:c>
      <x:c r="X172" s="29" t="str">
        <x:v>Unassigned</x:v>
      </x:c>
      <x:c r="Y172" s="32" t="n">
        <x:v>46262</x:v>
      </x:c>
      <x:c r="Z172" s="29" t="str">
        <x:v>Not recorded — internal CRM only</x:v>
      </x:c>
      <x:c r="AA172" s="29" t="str">
        <x:v>Phone / closed-group source; human review required</x:v>
      </x:c>
      <x:c r="AB172" s="29" t="str">
        <x:v>Unqualified / research pending</x:v>
      </x:c>
      <x:c r="AC172" s="29" t="str"/>
      <x:c r="AD172" s="29" t="str">
        <x:f>E172&amp;" | "&amp;J172&amp;" | "&amp;K172&amp;" | "&amp;F172</x:f>
        <x:v>Geoff (surname unknown) | — | — | ‎+447527808915</x:v>
      </x:c>
      <x:c r="AE172" s="31" t="n">
        <x:f>(IF(OR(O172="Confirmed",O172="Confirmed — phone matched"),2,IF(OR(O172="Self-identified",O172="Probable"),1,0))+IF(J172&lt;&gt;"—",1,0)+IF(K172&lt;&gt;"—",1,0)+IF(L172&lt;&gt;"To classify",1,0)+IF(OR(M172&lt;&gt;"",N172&lt;&gt;""),1,0)+IF(H172&lt;&gt;"",1,0)+IF(AB172&lt;&gt;"",1,0)+IF(X172&lt;&gt;"Unassigned",1,0))/9</x:f>
        <x:v>0.1111111111111111</x:v>
      </x:c>
    </x:row>
    <x:row r="173">
      <x:c r="A173" s="45" t="n">
        <x:v>169</x:v>
      </x:c>
      <x:c r="B173" s="29" t="str">
        <x:v>WhatsApp</x:v>
      </x:c>
      <x:c r="C173" s="29" t="str">
        <x:v>ISRM Ukraine</x:v>
      </x:c>
      <x:c r="D173" s="29" t="str">
        <x:v>Gerald Sigrist</x:v>
      </x:c>
      <x:c r="E173" s="29" t="str">
        <x:v>Gerald Sigrist</x:v>
      </x:c>
      <x:c r="F173" s="29" t="str">
        <x:v>‎+33788282410</x:v>
      </x:c>
      <x:c r="G173" s="29" t="str">
        <x:v>France</x:v>
      </x:c>
      <x:c r="H173" s="29"/>
      <x:c r="I173" s="29"/>
      <x:c r="J173" s="29" t="str">
        <x:v>Save the Children International Ukraine</x:v>
      </x:c>
      <x:c r="K173" s="29" t="str">
        <x:v>Safety &amp; Security Director</x:v>
      </x:c>
      <x:c r="L173" s="29" t="str">
        <x:v>Security / risk / resilience</x:v>
      </x:c>
      <x:c r="M173" s="29"/>
      <x:c r="N173" s="29" t="str">
        <x:v>https://www.savethechildren.net/</x:v>
      </x:c>
      <x:c r="O173" s="29" t="str">
        <x:v>Self-identified</x:v>
      </x:c>
      <x:c r="P173" s="29" t="str">
        <x:v>Medium-high</x:v>
      </x:c>
      <x:c r="Q173" s="46" t="str">
        <x:v>No</x:v>
      </x:c>
      <x:c r="R173" s="29" t="str">
        <x:v>Member / participant</x:v>
      </x:c>
      <x:c r="S173" s="29" t="str">
        <x:v>Potential client</x:v>
      </x:c>
      <x:c r="T173" s="29" t="str">
        <x:v>Identity stated; professional verification pending</x:v>
      </x:c>
      <x:c r="U173" s="29" t="str">
        <x:v>High</x:v>
      </x:c>
      <x:c r="V173" s="29" t="str">
        <x:v>Country-level NGO security director with clear operational legal needs.</x:v>
      </x:c>
      <x:c r="W173" s="29" t="str">
        <x:v>Priority warm outreach focused on duty of care, investigations and compliance.</x:v>
      </x:c>
      <x:c r="X173" s="29" t="str">
        <x:v>Unassigned</x:v>
      </x:c>
      <x:c r="Y173" s="32" t="n">
        <x:v>46262</x:v>
      </x:c>
      <x:c r="Z173" s="29" t="str">
        <x:v>Not recorded — internal CRM only</x:v>
      </x:c>
      <x:c r="AA173" s="29" t="str">
        <x:v>Phone / closed-group source; human review required</x:v>
      </x:c>
      <x:c r="AB173" s="29" t="str">
        <x:v>Security / risk / resilience; Security, strategic risk and crisis management; Potential client</x:v>
      </x:c>
      <x:c r="AC173" s="29" t="str">
        <x:v>SSD Save the Children Int. UA</x:v>
      </x:c>
      <x:c r="AD173" s="29" t="str">
        <x:f>E173&amp;" | "&amp;J173&amp;" | "&amp;K173&amp;" | "&amp;F173</x:f>
        <x:v>Gerald Sigrist | Save the Children International Ukraine | Safety &amp; Security Director | ‎+33788282410</x:v>
      </x:c>
      <x:c r="AE173" s="31" t="n">
        <x:f>(IF(OR(O173="Confirmed",O173="Confirmed — phone matched"),2,IF(OR(O173="Self-identified",O173="Probable"),1,0))+IF(J173&lt;&gt;"—",1,0)+IF(K173&lt;&gt;"—",1,0)+IF(L173&lt;&gt;"To classify",1,0)+IF(OR(M173&lt;&gt;"",N173&lt;&gt;""),1,0)+IF(H173&lt;&gt;"",1,0)+IF(AB173&lt;&gt;"",1,0)+IF(X173&lt;&gt;"Unassigned",1,0))/9</x:f>
        <x:v>0.6666666666666666</x:v>
      </x:c>
    </x:row>
    <x:row r="174">
      <x:c r="A174" s="45" t="n">
        <x:v>170</x:v>
      </x:c>
      <x:c r="B174" s="29" t="str">
        <x:v>WhatsApp</x:v>
      </x:c>
      <x:c r="C174" s="29" t="str">
        <x:v>ISRM Ukraine</x:v>
      </x:c>
      <x:c r="D174" s="29" t="str">
        <x:v>Greig</x:v>
      </x:c>
      <x:c r="E174" s="29" t="str">
        <x:v>Greig (surname unknown)</x:v>
      </x:c>
      <x:c r="F174" s="29" t="str">
        <x:v>‎+447966267677</x:v>
      </x:c>
      <x:c r="G174" s="29" t="str">
        <x:v>United Kingdom</x:v>
      </x:c>
      <x:c r="H174" s="29"/>
      <x:c r="I174" s="29"/>
      <x:c r="J174" s="29" t="str">
        <x:v>—</x:v>
      </x:c>
      <x:c r="K174" s="29" t="str">
        <x:v>—</x:v>
      </x:c>
      <x:c r="L174" s="29" t="str">
        <x:v>To classify</x:v>
      </x:c>
      <x:c r="M174" s="29"/>
      <x:c r="N174" s="29"/>
      <x:c r="O174" s="29" t="str">
        <x:v>Partial</x:v>
      </x:c>
      <x:c r="P174" s="29" t="str">
        <x:v>Low</x:v>
      </x:c>
      <x:c r="Q174" s="46" t="str">
        <x:v>No</x:v>
      </x:c>
      <x:c r="R174" s="29" t="str">
        <x:v>Member / participant</x:v>
      </x:c>
      <x:c r="S174" s="29" t="str">
        <x:v>Unqualified / research pending</x:v>
      </x:c>
      <x:c r="T174" s="29" t="str">
        <x:v>Identity completion pending</x:v>
      </x:c>
      <x:c r="U174" s="29" t="str">
        <x:v>Low</x:v>
      </x:c>
      <x:c r="V174" s="29" t="str">
        <x:v>No reliable commercial signal from the available data.</x:v>
      </x:c>
      <x:c r="W174" s="29" t="str">
        <x:v>Resolve identity and current role through a consensual group-admin or direct-message check before any outreach.</x:v>
      </x:c>
      <x:c r="X174" s="29" t="str">
        <x:v>Unassigned</x:v>
      </x:c>
      <x:c r="Y174" s="32" t="n">
        <x:v>46262</x:v>
      </x:c>
      <x:c r="Z174" s="29" t="str">
        <x:v>Not recorded — internal CRM only</x:v>
      </x:c>
      <x:c r="AA174" s="29" t="str">
        <x:v>Phone / closed-group source; human review required</x:v>
      </x:c>
      <x:c r="AB174" s="29" t="str">
        <x:v>Unqualified / research pending</x:v>
      </x:c>
      <x:c r="AC174" s="29" t="str"/>
      <x:c r="AD174" s="29" t="str">
        <x:f>E174&amp;" | "&amp;J174&amp;" | "&amp;K174&amp;" | "&amp;F174</x:f>
        <x:v>Greig (surname unknown) | — | — | ‎+447966267677</x:v>
      </x:c>
      <x:c r="AE174" s="31" t="n">
        <x:f>(IF(OR(O174="Confirmed",O174="Confirmed — phone matched"),2,IF(OR(O174="Self-identified",O174="Probable"),1,0))+IF(J174&lt;&gt;"—",1,0)+IF(K174&lt;&gt;"—",1,0)+IF(L174&lt;&gt;"To classify",1,0)+IF(OR(M174&lt;&gt;"",N174&lt;&gt;""),1,0)+IF(H174&lt;&gt;"",1,0)+IF(AB174&lt;&gt;"",1,0)+IF(X174&lt;&gt;"Unassigned",1,0))/9</x:f>
        <x:v>0.1111111111111111</x:v>
      </x:c>
    </x:row>
    <x:row r="175">
      <x:c r="A175" s="45" t="n">
        <x:v>171</x:v>
      </x:c>
      <x:c r="B175" s="29" t="str">
        <x:v>WhatsApp</x:v>
      </x:c>
      <x:c r="C175" s="29" t="str">
        <x:v>ISRM Ukraine</x:v>
      </x:c>
      <x:c r="D175" s="29" t="str">
        <x:v>H.H</x:v>
      </x:c>
      <x:c r="E175" s="29" t="str">
        <x:v>H.H (identity unresolved)</x:v>
      </x:c>
      <x:c r="F175" s="29" t="str">
        <x:v>‎+380664901197</x:v>
      </x:c>
      <x:c r="G175" s="29" t="str">
        <x:v>Ukraine</x:v>
      </x:c>
      <x:c r="H175" s="29"/>
      <x:c r="I175" s="29"/>
      <x:c r="J175" s="29" t="str">
        <x:v>—</x:v>
      </x:c>
      <x:c r="K175" s="29" t="str">
        <x:v>—</x:v>
      </x:c>
      <x:c r="L175" s="29" t="str">
        <x:v>To classify</x:v>
      </x:c>
      <x:c r="M175" s="29"/>
      <x:c r="N175" s="29"/>
      <x:c r="O175" s="29" t="str">
        <x:v>Partial</x:v>
      </x:c>
      <x:c r="P175" s="29" t="str">
        <x:v>Low</x:v>
      </x:c>
      <x:c r="Q175" s="46" t="str">
        <x:v>No</x:v>
      </x:c>
      <x:c r="R175" s="29" t="str">
        <x:v>Member / participant</x:v>
      </x:c>
      <x:c r="S175" s="29" t="str">
        <x:v>Unqualified / research pending</x:v>
      </x:c>
      <x:c r="T175" s="29" t="str">
        <x:v>Identity completion pending</x:v>
      </x:c>
      <x:c r="U175" s="29" t="str">
        <x:v>Low</x:v>
      </x:c>
      <x:c r="V175" s="29" t="str">
        <x:v>No reliable commercial signal from the available data.</x:v>
      </x:c>
      <x:c r="W175" s="29" t="str">
        <x:v>Resolve identity and current role through a consensual group-admin or direct-message check before any outreach.</x:v>
      </x:c>
      <x:c r="X175" s="29" t="str">
        <x:v>Unassigned</x:v>
      </x:c>
      <x:c r="Y175" s="32" t="n">
        <x:v>46262</x:v>
      </x:c>
      <x:c r="Z175" s="29" t="str">
        <x:v>Not recorded — internal CRM only</x:v>
      </x:c>
      <x:c r="AA175" s="29" t="str">
        <x:v>Phone / closed-group source; human review required</x:v>
      </x:c>
      <x:c r="AB175" s="29" t="str">
        <x:v>Unqualified / research pending</x:v>
      </x:c>
      <x:c r="AC175" s="29" t="str"/>
      <x:c r="AD175" s="29" t="str">
        <x:f>E175&amp;" | "&amp;J175&amp;" | "&amp;K175&amp;" | "&amp;F175</x:f>
        <x:v>H.H (identity unresolved) | — | — | ‎+380664901197</x:v>
      </x:c>
      <x:c r="AE175" s="31" t="n">
        <x:f>(IF(OR(O175="Confirmed",O175="Confirmed — phone matched"),2,IF(OR(O175="Self-identified",O175="Probable"),1,0))+IF(J175&lt;&gt;"—",1,0)+IF(K175&lt;&gt;"—",1,0)+IF(L175&lt;&gt;"To classify",1,0)+IF(OR(M175&lt;&gt;"",N175&lt;&gt;""),1,0)+IF(H175&lt;&gt;"",1,0)+IF(AB175&lt;&gt;"",1,0)+IF(X175&lt;&gt;"Unassigned",1,0))/9</x:f>
        <x:v>0.1111111111111111</x:v>
      </x:c>
    </x:row>
    <x:row r="176">
      <x:c r="A176" s="45" t="n">
        <x:v>172</x:v>
      </x:c>
      <x:c r="B176" s="29" t="str">
        <x:v>WhatsApp</x:v>
      </x:c>
      <x:c r="C176" s="29" t="str">
        <x:v>ISRM Ukraine</x:v>
      </x:c>
      <x:c r="D176" s="29" t="str">
        <x:v>Halyna</x:v>
      </x:c>
      <x:c r="E176" s="29" t="str">
        <x:v>Halyna (surname unknown)</x:v>
      </x:c>
      <x:c r="F176" s="29" t="str">
        <x:v>‎+380677343313</x:v>
      </x:c>
      <x:c r="G176" s="29" t="str">
        <x:v>Ukraine</x:v>
      </x:c>
      <x:c r="H176" s="29"/>
      <x:c r="I176" s="29"/>
      <x:c r="J176" s="29" t="str">
        <x:v>—</x:v>
      </x:c>
      <x:c r="K176" s="29" t="str">
        <x:v>—</x:v>
      </x:c>
      <x:c r="L176" s="29" t="str">
        <x:v>To classify</x:v>
      </x:c>
      <x:c r="M176" s="29"/>
      <x:c r="N176" s="29"/>
      <x:c r="O176" s="29" t="str">
        <x:v>Partial</x:v>
      </x:c>
      <x:c r="P176" s="29" t="str">
        <x:v>Low</x:v>
      </x:c>
      <x:c r="Q176" s="46" t="str">
        <x:v>No</x:v>
      </x:c>
      <x:c r="R176" s="29" t="str">
        <x:v>Member / participant</x:v>
      </x:c>
      <x:c r="S176" s="29" t="str">
        <x:v>Unqualified / research pending</x:v>
      </x:c>
      <x:c r="T176" s="29" t="str">
        <x:v>Identity completion pending</x:v>
      </x:c>
      <x:c r="U176" s="29" t="str">
        <x:v>Low</x:v>
      </x:c>
      <x:c r="V176" s="29" t="str">
        <x:v>No reliable commercial signal from the available data.</x:v>
      </x:c>
      <x:c r="W176" s="29" t="str">
        <x:v>Resolve identity and current role through a consensual group-admin or direct-message check before any outreach.</x:v>
      </x:c>
      <x:c r="X176" s="29" t="str">
        <x:v>Unassigned</x:v>
      </x:c>
      <x:c r="Y176" s="32" t="n">
        <x:v>46262</x:v>
      </x:c>
      <x:c r="Z176" s="29" t="str">
        <x:v>Not recorded — internal CRM only</x:v>
      </x:c>
      <x:c r="AA176" s="29" t="str">
        <x:v>Phone / closed-group source; human review required</x:v>
      </x:c>
      <x:c r="AB176" s="29" t="str">
        <x:v>Unqualified / research pending</x:v>
      </x:c>
      <x:c r="AC176" s="29" t="str"/>
      <x:c r="AD176" s="29" t="str">
        <x:f>E176&amp;" | "&amp;J176&amp;" | "&amp;K176&amp;" | "&amp;F176</x:f>
        <x:v>Halyna (surname unknown) | — | — | ‎+380677343313</x:v>
      </x:c>
      <x:c r="AE176" s="31" t="n">
        <x:f>(IF(OR(O176="Confirmed",O176="Confirmed — phone matched"),2,IF(OR(O176="Self-identified",O176="Probable"),1,0))+IF(J176&lt;&gt;"—",1,0)+IF(K176&lt;&gt;"—",1,0)+IF(L176&lt;&gt;"To classify",1,0)+IF(OR(M176&lt;&gt;"",N176&lt;&gt;""),1,0)+IF(H176&lt;&gt;"",1,0)+IF(AB176&lt;&gt;"",1,0)+IF(X176&lt;&gt;"Unassigned",1,0))/9</x:f>
        <x:v>0.1111111111111111</x:v>
      </x:c>
    </x:row>
    <x:row r="177">
      <x:c r="A177" s="45" t="n">
        <x:v>173</x:v>
      </x:c>
      <x:c r="B177" s="29" t="str">
        <x:v>WhatsApp</x:v>
      </x:c>
      <x:c r="C177" s="29" t="str">
        <x:v>ISRM Ukraine</x:v>
      </x:c>
      <x:c r="D177" s="29" t="str">
        <x:v>Hanna Zavolodko</x:v>
      </x:c>
      <x:c r="E177" s="29" t="str">
        <x:v>Hanna Zavolodko</x:v>
      </x:c>
      <x:c r="F177" s="29" t="str">
        <x:v>‎+380509110258</x:v>
      </x:c>
      <x:c r="G177" s="29" t="str">
        <x:v>Ukraine</x:v>
      </x:c>
      <x:c r="H177" s="29"/>
      <x:c r="I177" s="29"/>
      <x:c r="J177" s="29" t="str">
        <x:v>National Technical University Kharkiv Polytechnic Institute / ISRM Ukraine</x:v>
      </x:c>
      <x:c r="K177" s="29" t="str">
        <x:v>Associate Professor; Academic Liaison</x:v>
      </x:c>
      <x:c r="L177" s="29" t="str">
        <x:v>Academia / research</x:v>
      </x:c>
      <x:c r="M177" s="29"/>
      <x:c r="N177" s="29" t="str">
        <x:v>https://www.kpi.kharkov.ua/eng/2026/07/03/national-technical-university-kharkiv-polytechnic-institute-brought-together-female-stem-leaders/</x:v>
      </x:c>
      <x:c r="O177" s="29" t="str">
        <x:v>Confirmed</x:v>
      </x:c>
      <x:c r="P177" s="29" t="str">
        <x:v>High</x:v>
      </x:c>
      <x:c r="Q177" s="46" t="str">
        <x:v>Yes</x:v>
      </x:c>
      <x:c r="R177" s="29" t="str">
        <x:v>Group administrator / community organiser</x:v>
      </x:c>
      <x:c r="S177" s="29" t="str">
        <x:v>Connector / community multiplier</x:v>
      </x:c>
      <x:c r="T177" s="29" t="str">
        <x:v>Verified profile</x:v>
      </x:c>
      <x:c r="U177" s="29" t="str">
        <x:v>Medium</x:v>
      </x:c>
      <x:c r="V177" s="29" t="str">
        <x:v>Institutional and academic connector inside the chapter.</x:v>
      </x:c>
      <x:c r="W177" s="29" t="str">
        <x:v>Use for expert events and introductions to universities and industry.</x:v>
      </x:c>
      <x:c r="X177" s="29" t="str">
        <x:v>Unassigned</x:v>
      </x:c>
      <x:c r="Y177" s="32" t="n">
        <x:v>46262</x:v>
      </x:c>
      <x:c r="Z177" s="29" t="str">
        <x:v>Not recorded — internal CRM only</x:v>
      </x:c>
      <x:c r="AA177" s="29" t="str">
        <x:v>Phone / closed-group source; human review required</x:v>
      </x:c>
      <x:c r="AB177" s="29" t="str">
        <x:v>Academia / research; Research, education and knowledge transfer; Connector / community multiplier</x:v>
      </x:c>
      <x:c r="AC177" s="29" t="str">
        <x:v>Hanna Zavolodko KhPI UWG Ukr</x:v>
      </x:c>
      <x:c r="AD177" s="29" t="str">
        <x:f>E177&amp;" | "&amp;J177&amp;" | "&amp;K177&amp;" | "&amp;F177</x:f>
        <x:v>Hanna Zavolodko | National Technical University Kharkiv Polytechnic Institute / ISRM Ukraine | Associate Professor; Academic Liaison | ‎+380509110258</x:v>
      </x:c>
      <x:c r="AE177" s="31" t="n">
        <x:f>(IF(OR(O177="Confirmed",O177="Confirmed — phone matched"),2,IF(OR(O177="Self-identified",O177="Probable"),1,0))+IF(J177&lt;&gt;"—",1,0)+IF(K177&lt;&gt;"—",1,0)+IF(L177&lt;&gt;"To classify",1,0)+IF(OR(M177&lt;&gt;"",N177&lt;&gt;""),1,0)+IF(H177&lt;&gt;"",1,0)+IF(AB177&lt;&gt;"",1,0)+IF(X177&lt;&gt;"Unassigned",1,0))/9</x:f>
        <x:v>0.7777777777777778</x:v>
      </x:c>
    </x:row>
    <x:row r="178">
      <x:c r="A178" s="45" t="n">
        <x:v>174</x:v>
      </x:c>
      <x:c r="B178" s="29" t="str">
        <x:v>WhatsApp</x:v>
      </x:c>
      <x:c r="C178" s="29" t="str">
        <x:v>ISRM Ukraine</x:v>
      </x:c>
      <x:c r="D178" s="29" t="str">
        <x:v>Ian Spence</x:v>
      </x:c>
      <x:c r="E178" s="29" t="str">
        <x:v>Ian Spence</x:v>
      </x:c>
      <x:c r="F178" s="29" t="str">
        <x:v>‎+447971171889</x:v>
      </x:c>
      <x:c r="G178" s="29" t="str">
        <x:v>United Kingdom</x:v>
      </x:c>
      <x:c r="H178" s="29"/>
      <x:c r="I178" s="29"/>
      <x:c r="J178" s="29" t="str">
        <x:v>INSO Ukraine / ISRM Ukraine</x:v>
      </x:c>
      <x:c r="K178" s="29" t="str">
        <x:v>Country Director; Ukraine Chapter Chair</x:v>
      </x:c>
      <x:c r="L178" s="29" t="str">
        <x:v>Security / risk / resilience</x:v>
      </x:c>
      <x:c r="M178" s="29"/>
      <x:c r="N178" s="29" t="str">
        <x:v>https://www.theisrm.org/isrm-announces-ukraine-chapter/</x:v>
      </x:c>
      <x:c r="O178" s="29" t="str">
        <x:v>Confirmed</x:v>
      </x:c>
      <x:c r="P178" s="29" t="str">
        <x:v>High</x:v>
      </x:c>
      <x:c r="Q178" s="46" t="str">
        <x:v>Yes</x:v>
      </x:c>
      <x:c r="R178" s="29" t="str">
        <x:v>Group administrator / community organiser</x:v>
      </x:c>
      <x:c r="S178" s="29" t="str">
        <x:v>Potential partner / referral</x:v>
      </x:c>
      <x:c r="T178" s="29" t="str">
        <x:v>Verified profile</x:v>
      </x:c>
      <x:c r="U178" s="29" t="str">
        <x:v>High</x:v>
      </x:c>
      <x:c r="V178" s="29" t="str">
        <x:v>Central gatekeeper in Ukraine NGO security and ISRM networks.</x:v>
      </x:c>
      <x:c r="W178" s="29" t="str">
        <x:v>Priority senior relationship: validate targets and request warm introductions.</x:v>
      </x:c>
      <x:c r="X178" s="29" t="str">
        <x:v>Unassigned</x:v>
      </x:c>
      <x:c r="Y178" s="32" t="n">
        <x:v>46262</x:v>
      </x:c>
      <x:c r="Z178" s="29" t="str">
        <x:v>Not recorded — internal CRM only</x:v>
      </x:c>
      <x:c r="AA178" s="29" t="str">
        <x:v>Phone / closed-group source; human review required</x:v>
      </x:c>
      <x:c r="AB178" s="29" t="str">
        <x:v>Security / risk / resilience; Security, strategic risk and crisis management; Potential partner / referral</x:v>
      </x:c>
      <x:c r="AC178" s="29" t="str">
        <x:v>Ian Spence Chapter Chair</x:v>
      </x:c>
      <x:c r="AD178" s="29" t="str">
        <x:f>E178&amp;" | "&amp;J178&amp;" | "&amp;K178&amp;" | "&amp;F178</x:f>
        <x:v>Ian Spence | INSO Ukraine / ISRM Ukraine | Country Director; Ukraine Chapter Chair | ‎+447971171889</x:v>
      </x:c>
      <x:c r="AE178" s="31" t="n">
        <x:f>(IF(OR(O178="Confirmed",O178="Confirmed — phone matched"),2,IF(OR(O178="Self-identified",O178="Probable"),1,0))+IF(J178&lt;&gt;"—",1,0)+IF(K178&lt;&gt;"—",1,0)+IF(L178&lt;&gt;"To classify",1,0)+IF(OR(M178&lt;&gt;"",N178&lt;&gt;""),1,0)+IF(H178&lt;&gt;"",1,0)+IF(AB178&lt;&gt;"",1,0)+IF(X178&lt;&gt;"Unassigned",1,0))/9</x:f>
        <x:v>0.7777777777777778</x:v>
      </x:c>
    </x:row>
    <x:row r="179">
      <x:c r="A179" s="45" t="n">
        <x:v>175</x:v>
      </x:c>
      <x:c r="B179" s="29" t="str">
        <x:v>WhatsApp</x:v>
      </x:c>
      <x:c r="C179" s="29" t="str">
        <x:v>ISRM Ukraine</x:v>
      </x:c>
      <x:c r="D179" s="29" t="str">
        <x:v>Ilona</x:v>
      </x:c>
      <x:c r="E179" s="29" t="str">
        <x:v>Ilona (surname unknown)</x:v>
      </x:c>
      <x:c r="F179" s="29" t="str">
        <x:v>‎+380967343224</x:v>
      </x:c>
      <x:c r="G179" s="29" t="str">
        <x:v>Ukraine</x:v>
      </x:c>
      <x:c r="H179" s="29"/>
      <x:c r="I179" s="29"/>
      <x:c r="J179" s="29" t="str">
        <x:v>—</x:v>
      </x:c>
      <x:c r="K179" s="29" t="str">
        <x:v>—</x:v>
      </x:c>
      <x:c r="L179" s="29" t="str">
        <x:v>To classify</x:v>
      </x:c>
      <x:c r="M179" s="29"/>
      <x:c r="N179" s="29"/>
      <x:c r="O179" s="29" t="str">
        <x:v>Partial</x:v>
      </x:c>
      <x:c r="P179" s="29" t="str">
        <x:v>Low</x:v>
      </x:c>
      <x:c r="Q179" s="46" t="str">
        <x:v>No</x:v>
      </x:c>
      <x:c r="R179" s="29" t="str">
        <x:v>Member / participant</x:v>
      </x:c>
      <x:c r="S179" s="29" t="str">
        <x:v>Unqualified / research pending</x:v>
      </x:c>
      <x:c r="T179" s="29" t="str">
        <x:v>Identity completion pending</x:v>
      </x:c>
      <x:c r="U179" s="29" t="str">
        <x:v>Low</x:v>
      </x:c>
      <x:c r="V179" s="29" t="str">
        <x:v>No reliable commercial signal from the available data.</x:v>
      </x:c>
      <x:c r="W179" s="29" t="str">
        <x:v>Resolve identity and current role through a consensual group-admin or direct-message check before any outreach.</x:v>
      </x:c>
      <x:c r="X179" s="29" t="str">
        <x:v>Unassigned</x:v>
      </x:c>
      <x:c r="Y179" s="32" t="n">
        <x:v>46262</x:v>
      </x:c>
      <x:c r="Z179" s="29" t="str">
        <x:v>Not recorded — internal CRM only</x:v>
      </x:c>
      <x:c r="AA179" s="29" t="str">
        <x:v>Phone / closed-group source; human review required</x:v>
      </x:c>
      <x:c r="AB179" s="29" t="str">
        <x:v>Unqualified / research pending</x:v>
      </x:c>
      <x:c r="AC179" s="29" t="str"/>
      <x:c r="AD179" s="29" t="str">
        <x:f>E179&amp;" | "&amp;J179&amp;" | "&amp;K179&amp;" | "&amp;F179</x:f>
        <x:v>Ilona (surname unknown) | — | — | ‎+380967343224</x:v>
      </x:c>
      <x:c r="AE179" s="31" t="n">
        <x:f>(IF(OR(O179="Confirmed",O179="Confirmed — phone matched"),2,IF(OR(O179="Self-identified",O179="Probable"),1,0))+IF(J179&lt;&gt;"—",1,0)+IF(K179&lt;&gt;"—",1,0)+IF(L179&lt;&gt;"To classify",1,0)+IF(OR(M179&lt;&gt;"",N179&lt;&gt;""),1,0)+IF(H179&lt;&gt;"",1,0)+IF(AB179&lt;&gt;"",1,0)+IF(X179&lt;&gt;"Unassigned",1,0))/9</x:f>
        <x:v>0.1111111111111111</x:v>
      </x:c>
    </x:row>
    <x:row r="180">
      <x:c r="A180" s="45" t="n">
        <x:v>176</x:v>
      </x:c>
      <x:c r="B180" s="29" t="str">
        <x:v>WhatsApp</x:v>
      </x:c>
      <x:c r="C180" s="29" t="str">
        <x:v>ISRM Ukraine</x:v>
      </x:c>
      <x:c r="D180" s="29" t="str">
        <x:v>Irina</x:v>
      </x:c>
      <x:c r="E180" s="29" t="str">
        <x:v>Irina (surname unknown)</x:v>
      </x:c>
      <x:c r="F180" s="29" t="str">
        <x:v>‎+380503967401</x:v>
      </x:c>
      <x:c r="G180" s="29" t="str">
        <x:v>Ukraine</x:v>
      </x:c>
      <x:c r="H180" s="29"/>
      <x:c r="I180" s="29"/>
      <x:c r="J180" s="29" t="str">
        <x:v>—</x:v>
      </x:c>
      <x:c r="K180" s="29" t="str">
        <x:v>—</x:v>
      </x:c>
      <x:c r="L180" s="29" t="str">
        <x:v>To classify</x:v>
      </x:c>
      <x:c r="M180" s="29"/>
      <x:c r="N180" s="29"/>
      <x:c r="O180" s="29" t="str">
        <x:v>Partial</x:v>
      </x:c>
      <x:c r="P180" s="29" t="str">
        <x:v>Low</x:v>
      </x:c>
      <x:c r="Q180" s="46" t="str">
        <x:v>No</x:v>
      </x:c>
      <x:c r="R180" s="29" t="str">
        <x:v>Member / participant</x:v>
      </x:c>
      <x:c r="S180" s="29" t="str">
        <x:v>Unqualified / research pending</x:v>
      </x:c>
      <x:c r="T180" s="29" t="str">
        <x:v>Identity completion pending</x:v>
      </x:c>
      <x:c r="U180" s="29" t="str">
        <x:v>Low</x:v>
      </x:c>
      <x:c r="V180" s="29" t="str">
        <x:v>No reliable commercial signal from the available data.</x:v>
      </x:c>
      <x:c r="W180" s="29" t="str">
        <x:v>Resolve identity and current role through a consensual group-admin or direct-message check before any outreach.</x:v>
      </x:c>
      <x:c r="X180" s="29" t="str">
        <x:v>Unassigned</x:v>
      </x:c>
      <x:c r="Y180" s="32" t="n">
        <x:v>46262</x:v>
      </x:c>
      <x:c r="Z180" s="29" t="str">
        <x:v>Not recorded — internal CRM only</x:v>
      </x:c>
      <x:c r="AA180" s="29" t="str">
        <x:v>Phone / closed-group source; human review required</x:v>
      </x:c>
      <x:c r="AB180" s="29" t="str">
        <x:v>Unqualified / research pending</x:v>
      </x:c>
      <x:c r="AC180" s="29" t="str"/>
      <x:c r="AD180" s="29" t="str">
        <x:f>E180&amp;" | "&amp;J180&amp;" | "&amp;K180&amp;" | "&amp;F180</x:f>
        <x:v>Irina (surname unknown) | — | — | ‎+380503967401</x:v>
      </x:c>
      <x:c r="AE180" s="31" t="n">
        <x:f>(IF(OR(O180="Confirmed",O180="Confirmed — phone matched"),2,IF(OR(O180="Self-identified",O180="Probable"),1,0))+IF(J180&lt;&gt;"—",1,0)+IF(K180&lt;&gt;"—",1,0)+IF(L180&lt;&gt;"To classify",1,0)+IF(OR(M180&lt;&gt;"",N180&lt;&gt;""),1,0)+IF(H180&lt;&gt;"",1,0)+IF(AB180&lt;&gt;"",1,0)+IF(X180&lt;&gt;"Unassigned",1,0))/9</x:f>
        <x:v>0.1111111111111111</x:v>
      </x:c>
    </x:row>
    <x:row r="181">
      <x:c r="A181" s="45" t="n">
        <x:v>177</x:v>
      </x:c>
      <x:c r="B181" s="29" t="str">
        <x:v>WhatsApp</x:v>
      </x:c>
      <x:c r="C181" s="29" t="str">
        <x:v>ISRM Ukraine</x:v>
      </x:c>
      <x:c r="D181" s="29" t="str">
        <x:v>Iurii Pastushenko</x:v>
      </x:c>
      <x:c r="E181" s="29" t="str">
        <x:v>Iurii Pastushenko</x:v>
      </x:c>
      <x:c r="F181" s="29" t="str">
        <x:v>‎+380677239201</x:v>
      </x:c>
      <x:c r="G181" s="29" t="str">
        <x:v>Ukraine</x:v>
      </x:c>
      <x:c r="H181" s="29"/>
      <x:c r="I181" s="29"/>
      <x:c r="J181" s="29" t="str">
        <x:v>ASB Ukraine</x:v>
      </x:c>
      <x:c r="K181" s="29" t="str">
        <x:v>Country Security Manager</x:v>
      </x:c>
      <x:c r="L181" s="29" t="str">
        <x:v>Security / risk / resilience</x:v>
      </x:c>
      <x:c r="M181" s="29" t="str">
        <x:v>https://ua.linkedin.com/in/iurii-pastushenko-896392248</x:v>
      </x:c>
      <x:c r="N181" s="29"/>
      <x:c r="O181" s="29" t="str">
        <x:v>Confirmed</x:v>
      </x:c>
      <x:c r="P181" s="29" t="str">
        <x:v>High</x:v>
      </x:c>
      <x:c r="Q181" s="46" t="str">
        <x:v>No</x:v>
      </x:c>
      <x:c r="R181" s="29" t="str">
        <x:v>Member / participant</x:v>
      </x:c>
      <x:c r="S181" s="29" t="str">
        <x:v>Potential client</x:v>
      </x:c>
      <x:c r="T181" s="29" t="str">
        <x:v>Verified profile</x:v>
      </x:c>
      <x:c r="U181" s="29" t="str">
        <x:v>High</x:v>
      </x:c>
      <x:c r="V181" s="29" t="str">
        <x:v>NGO country security manager with strong operational legal and compliance fit.</x:v>
      </x:c>
      <x:c r="W181" s="29" t="str">
        <x:v>Warm outreach on NGO employment, compliance, investigations and incident response.</x:v>
      </x:c>
      <x:c r="X181" s="29" t="str">
        <x:v>Unassigned</x:v>
      </x:c>
      <x:c r="Y181" s="32" t="n">
        <x:v>46262</x:v>
      </x:c>
      <x:c r="Z181" s="29" t="str">
        <x:v>Not recorded — internal CRM only</x:v>
      </x:c>
      <x:c r="AA181" s="29" t="str">
        <x:v>Phone / closed-group source; human review required</x:v>
      </x:c>
      <x:c r="AB181" s="29" t="str">
        <x:v>Security / risk / resilience; Security, strategic risk and crisis management; Potential client</x:v>
      </x:c>
      <x:c r="AC181" s="29" t="str">
        <x:v>Iurii Pastushenko ASB CSM</x:v>
      </x:c>
      <x:c r="AD181" s="29" t="str">
        <x:f>E181&amp;" | "&amp;J181&amp;" | "&amp;K181&amp;" | "&amp;F181</x:f>
        <x:v>Iurii Pastushenko | ASB Ukraine | Country Security Manager | ‎+380677239201</x:v>
      </x:c>
      <x:c r="AE181" s="31" t="n">
        <x:f>(IF(OR(O181="Confirmed",O181="Confirmed — phone matched"),2,IF(OR(O181="Self-identified",O181="Probable"),1,0))+IF(J181&lt;&gt;"—",1,0)+IF(K181&lt;&gt;"—",1,0)+IF(L181&lt;&gt;"To classify",1,0)+IF(OR(M181&lt;&gt;"",N181&lt;&gt;""),1,0)+IF(H181&lt;&gt;"",1,0)+IF(AB181&lt;&gt;"",1,0)+IF(X181&lt;&gt;"Unassigned",1,0))/9</x:f>
        <x:v>0.7777777777777778</x:v>
      </x:c>
    </x:row>
    <x:row r="182">
      <x:c r="A182" s="45" t="n">
        <x:v>178</x:v>
      </x:c>
      <x:c r="B182" s="29" t="str">
        <x:v>WhatsApp</x:v>
      </x:c>
      <x:c r="C182" s="29" t="str">
        <x:v>ISRM Ukraine</x:v>
      </x:c>
      <x:c r="D182" s="29" t="str">
        <x:v>Ivan Golturenko</x:v>
      </x:c>
      <x:c r="E182" s="29" t="str">
        <x:v>Ivan Golturenko</x:v>
      </x:c>
      <x:c r="F182" s="29" t="str">
        <x:v>‎+380679218778</x:v>
      </x:c>
      <x:c r="G182" s="29" t="str">
        <x:v>Ukraine</x:v>
      </x:c>
      <x:c r="H182" s="29"/>
      <x:c r="I182" s="29"/>
      <x:c r="J182" s="29" t="str">
        <x:v>—</x:v>
      </x:c>
      <x:c r="K182" s="29" t="str">
        <x:v>—</x:v>
      </x:c>
      <x:c r="L182" s="29" t="str">
        <x:v>To classify</x:v>
      </x:c>
      <x:c r="M182" s="29"/>
      <x:c r="N182" s="29"/>
      <x:c r="O182" s="29" t="str">
        <x:v>Self-identified</x:v>
      </x:c>
      <x:c r="P182" s="29" t="str">
        <x:v>Medium</x:v>
      </x:c>
      <x:c r="Q182" s="46" t="str">
        <x:v>No</x:v>
      </x:c>
      <x:c r="R182" s="29" t="str">
        <x:v>Member / participant</x:v>
      </x:c>
      <x:c r="S182" s="29" t="str">
        <x:v>Member / verify</x:v>
      </x:c>
      <x:c r="T182" s="29" t="str">
        <x:v>Identity stated; professional verification pending</x:v>
      </x:c>
      <x:c r="U182" s="29" t="str">
        <x:v>Medium</x:v>
      </x:c>
      <x:c r="V182" s="29" t="str">
        <x:v>Full name available, but current professional identity remains unverified.</x:v>
      </x:c>
      <x:c r="W182" s="29" t="str">
        <x:v>Confirm organization and Ukraine remit.</x:v>
      </x:c>
      <x:c r="X182" s="29" t="str">
        <x:v>Unassigned</x:v>
      </x:c>
      <x:c r="Y182" s="32" t="n">
        <x:v>46262</x:v>
      </x:c>
      <x:c r="Z182" s="29" t="str">
        <x:v>Not recorded — internal CRM only</x:v>
      </x:c>
      <x:c r="AA182" s="29" t="str">
        <x:v>Phone / closed-group source; human review required</x:v>
      </x:c>
      <x:c r="AB182" s="29" t="str">
        <x:v>Member / verify</x:v>
      </x:c>
      <x:c r="AC182" s="29" t="str"/>
      <x:c r="AD182" s="29" t="str">
        <x:f>E182&amp;" | "&amp;J182&amp;" | "&amp;K182&amp;" | "&amp;F182</x:f>
        <x:v>Ivan Golturenko | — | — | ‎+380679218778</x:v>
      </x:c>
      <x:c r="AE182" s="31" t="n">
        <x:f>(IF(OR(O182="Confirmed",O182="Confirmed — phone matched"),2,IF(OR(O182="Self-identified",O182="Probable"),1,0))+IF(J182&lt;&gt;"—",1,0)+IF(K182&lt;&gt;"—",1,0)+IF(L182&lt;&gt;"To classify",1,0)+IF(OR(M182&lt;&gt;"",N182&lt;&gt;""),1,0)+IF(H182&lt;&gt;"",1,0)+IF(AB182&lt;&gt;"",1,0)+IF(X182&lt;&gt;"Unassigned",1,0))/9</x:f>
        <x:v>0.2222222222222222</x:v>
      </x:c>
    </x:row>
  </x:sheetData>
  <x:mergeCells>
    <x:mergeCell ref="A1:AE1"/>
    <x:mergeCell ref="A2:AE2"/>
    <x:mergeCell ref="A3:C3"/>
    <x:mergeCell ref="D3:I3"/>
    <x:mergeCell ref="J3:N3"/>
    <x:mergeCell ref="O3:R3"/>
    <x:mergeCell ref="S3:U3"/>
    <x:mergeCell ref="V3:W3"/>
    <x:mergeCell ref="X3:AA3"/>
    <x:mergeCell ref="AB3:AE3"/>
  </x:mergeCells>
  <x:conditionalFormatting sqref="AE5:AE182">
    <x:cfRule type="dataBar" priority="1">
      <x:dataBar>
        <x:cfvo type="min"/>
        <x:cfvo type="max"/>
        <x:color rgb="FF666666"/>
      </x:dataBar>
      <x:extLst>
        <x:ext xmlns:x14="http://schemas.microsoft.com/office/spreadsheetml/2009/9/main" uri="{B025F937-C7B1-47D3-B67F-A62EFF666E3E}">
          <x14:id>{DB8BABFC-FE88-22C7-8D85-70CB9AB2EF20}</x14:id>
        </x:ext>
      </x:extLst>
    </x:cfRule>
  </x:conditionalFormatting>
  <x:dataValidations count="3">
    <x:dataValidation type="list" sqref="X5:X182">
      <x:formula1>"Unassigned,ISRM,F&amp;P,Joint"</x:formula1>
    </x:dataValidation>
    <x:dataValidation type="list" sqref="Z5:Z182">
      <x:formula1>"Not recorded — internal CRM only,Permission to contact recorded,Permission to publish recorded,Opted out,Review required"</x:formula1>
    </x:dataValidation>
    <x:dataValidation type="list" sqref="U5:U182">
      <x:formula1>"High,Medium,Low,Internal"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49d0138b1045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8BABFC-FE88-22C7-8D85-70CB9AB2EF20}">
            <x14:dataBar gradient="1">
              <x14:cfvo type="min"/>
              <x14:cfvo type="max"/>
              <x14:fillColor rgb="FF666666"/>
            </x14:dataBar>
          </x14:cfRule>
          <xm:sqref>AE5:AE182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28" hidden="0" customWidth="1"/>
    <x:col min="4" max="4" width="31" hidden="0" customWidth="1"/>
    <x:col min="5" max="5" width="28" hidden="0" customWidth="1"/>
    <x:col min="6" max="6" width="37" hidden="0" customWidth="1"/>
    <x:col min="7" max="7" width="46" hidden="0" customWidth="1"/>
    <x:col min="8" max="8" width="33" hidden="0" customWidth="1"/>
    <x:col min="9" max="9" width="43" hidden="0" customWidth="1"/>
    <x:col min="10" max="10" width="38" hidden="0" customWidth="1"/>
    <x:col min="11" max="11" width="46" hidden="0" customWidth="1"/>
    <x:col min="12" max="12" width="42" hidden="0" customWidth="1"/>
    <x:col min="13" max="13" width="43" hidden="0" customWidth="1"/>
    <x:col min="14" max="14" width="28" hidden="0" customWidth="1"/>
    <x:col min="15" max="15" width="46" hidden="0" customWidth="1"/>
    <x:col min="16" max="16" width="58" hidden="0" customWidth="1"/>
    <x:col min="17" max="17" width="50" hidden="0" customWidth="1"/>
  </x:cols>
  <x:sheetData>
    <x:row r="1" ht="31" customHeight="1">
      <x:c r="A1" s="4" t="str">
        <x:v>ISRM Ukraine — Expertise and Knowledge Map</x:v>
      </x:c>
      <x:c r="B1" s="4" t="str">
        <x:v>ISRM Ukraine — Expertise and Knowledge Map</x:v>
      </x:c>
      <x:c r="C1" s="4" t="str">
        <x:v>ISRM Ukraine — Expertise and Knowledge Map</x:v>
      </x:c>
      <x:c r="D1" s="4" t="str">
        <x:v>ISRM Ukraine — Expertise and Knowledge Map</x:v>
      </x:c>
      <x:c r="E1" s="4" t="str">
        <x:v>ISRM Ukraine — Expertise and Knowledge Map</x:v>
      </x:c>
      <x:c r="F1" s="4" t="str">
        <x:v>ISRM Ukraine — Expertise and Knowledge Map</x:v>
      </x:c>
      <x:c r="G1" s="4" t="str">
        <x:v>ISRM Ukraine — Expertise and Knowledge Map</x:v>
      </x:c>
      <x:c r="H1" s="4" t="str">
        <x:v>ISRM Ukraine — Expertise and Knowledge Map</x:v>
      </x:c>
      <x:c r="I1" s="4" t="str">
        <x:v>ISRM Ukraine — Expertise and Knowledge Map</x:v>
      </x:c>
      <x:c r="J1" s="4" t="str">
        <x:v>ISRM Ukraine — Expertise and Knowledge Map</x:v>
      </x:c>
      <x:c r="K1" s="4" t="str">
        <x:v>ISRM Ukraine — Expertise and Knowledge Map</x:v>
      </x:c>
      <x:c r="L1" s="4" t="str">
        <x:v>ISRM Ukraine — Expertise and Knowledge Map</x:v>
      </x:c>
      <x:c r="M1" s="4" t="str">
        <x:v>ISRM Ukraine — Expertise and Knowledge Map</x:v>
      </x:c>
      <x:c r="N1" s="4" t="str">
        <x:v>ISRM Ukraine — Expertise and Knowledge Map</x:v>
      </x:c>
      <x:c r="O1" s="4" t="str">
        <x:v>ISRM Ukraine — Expertise and Knowledge Map</x:v>
      </x:c>
      <x:c r="P1" s="4" t="str">
        <x:v>ISRM Ukraine — Expertise and Knowledge Map</x:v>
      </x:c>
      <x:c r="Q1" s="4" t="str">
        <x:v>ISRM Ukraine — Expertise and Knowledge Map</x:v>
      </x:c>
    </x:row>
    <x:row r="2" ht="28" customHeight="1">
      <x:c r="A2" s="16" t="str">
        <x:v>For 45 verified identities, public-source research is incorporated below. Remaining themes are role-based hypotheses. Interviews, security review and consent remain required before publication.</x:v>
      </x:c>
      <x:c r="B2" s="17" t="str">
        <x:v>For 45 verified identities, public-source research is incorporated below. Remaining themes are role-based hypotheses. Interviews, security review and consent remain required before publication.</x:v>
      </x:c>
      <x:c r="C2" s="17" t="str">
        <x:v>For 45 verified identities, public-source research is incorporated below. Remaining themes are role-based hypotheses. Interviews, security review and consent remain required before publication.</x:v>
      </x:c>
      <x:c r="D2" s="17" t="str">
        <x:v>For 45 verified identities, public-source research is incorporated below. Remaining themes are role-based hypotheses. Interviews, security review and consent remain required before publication.</x:v>
      </x:c>
      <x:c r="E2" s="17" t="str">
        <x:v>For 45 verified identities, public-source research is incorporated below. Remaining themes are role-based hypotheses. Interviews, security review and consent remain required before publication.</x:v>
      </x:c>
      <x:c r="F2" s="17" t="str">
        <x:v>For 45 verified identities, public-source research is incorporated below. Remaining themes are role-based hypotheses. Interviews, security review and consent remain required before publication.</x:v>
      </x:c>
      <x:c r="G2" s="17" t="str">
        <x:v>For 45 verified identities, public-source research is incorporated below. Remaining themes are role-based hypotheses. Interviews, security review and consent remain required before publication.</x:v>
      </x:c>
      <x:c r="H2" s="17" t="str">
        <x:v>For 45 verified identities, public-source research is incorporated below. Remaining themes are role-based hypotheses. Interviews, security review and consent remain required before publication.</x:v>
      </x:c>
      <x:c r="I2" s="17" t="str">
        <x:v>For 45 verified identities, public-source research is incorporated below. Remaining themes are role-based hypotheses. Interviews, security review and consent remain required before publication.</x:v>
      </x:c>
      <x:c r="J2" s="17" t="str">
        <x:v>For 45 verified identities, public-source research is incorporated below. Remaining themes are role-based hypotheses. Interviews, security review and consent remain required before publication.</x:v>
      </x:c>
      <x:c r="K2" s="17" t="str">
        <x:v>For 45 verified identities, public-source research is incorporated below. Remaining themes are role-based hypotheses. Interviews, security review and consent remain required before publication.</x:v>
      </x:c>
      <x:c r="L2" s="17" t="str">
        <x:v>For 45 verified identities, public-source research is incorporated below. Remaining themes are role-based hypotheses. Interviews, security review and consent remain required before publication.</x:v>
      </x:c>
      <x:c r="M2" s="17" t="str">
        <x:v>For 45 verified identities, public-source research is incorporated below. Remaining themes are role-based hypotheses. Interviews, security review and consent remain required before publication.</x:v>
      </x:c>
      <x:c r="N2" s="17" t="str">
        <x:v>For 45 verified identities, public-source research is incorporated below. Remaining themes are role-based hypotheses. Interviews, security review and consent remain required before publication.</x:v>
      </x:c>
      <x:c r="O2" s="17" t="str">
        <x:v>For 45 verified identities, public-source research is incorporated below. Remaining themes are role-based hypotheses. Interviews, security review and consent remain required before publication.</x:v>
      </x:c>
      <x:c r="P2" s="17" t="str">
        <x:v>For 45 verified identities, public-source research is incorporated below. Remaining themes are role-based hypotheses. Interviews, security review and consent remain required before publication.</x:v>
      </x:c>
      <x:c r="Q2" s="18" t="str">
        <x:v>For 45 verified identities, public-source research is incorporated below. Remaining themes are role-based hypotheses. Interviews, security review and consent remain required before publication.</x:v>
      </x:c>
    </x:row>
    <x:row r="4" ht="38" customHeight="1">
      <x:c r="A4" s="24" t="str">
        <x:v>Record ID</x:v>
      </x:c>
      <x:c r="B4" s="24" t="str">
        <x:v>Contact</x:v>
      </x:c>
      <x:c r="C4" s="24" t="str">
        <x:v>Organisation</x:v>
      </x:c>
      <x:c r="D4" s="24" t="str">
        <x:v>Role</x:v>
      </x:c>
      <x:c r="E4" s="24" t="str">
        <x:v>Sector</x:v>
      </x:c>
      <x:c r="F4" s="24" t="str">
        <x:v>Primary expertise</x:v>
      </x:c>
      <x:c r="G4" s="24" t="str">
        <x:v>Potential Ukraine experience theme</x:v>
      </x:c>
      <x:c r="H4" s="24" t="str">
        <x:v>Evidence basis</x:v>
      </x:c>
      <x:c r="I4" s="24" t="str">
        <x:v>Potential ISRM contribution</x:v>
      </x:c>
      <x:c r="J4" s="24" t="str">
        <x:v>Potential community role</x:v>
      </x:c>
      <x:c r="K4" s="24" t="str">
        <x:v>Case study / content theme</x:v>
      </x:c>
      <x:c r="L4" s="24" t="str">
        <x:v>International transferability</x:v>
      </x:c>
      <x:c r="M4" s="24" t="str">
        <x:v>Knowledge status</x:v>
      </x:c>
      <x:c r="N4" s="24" t="str">
        <x:v>Interview / consent status</x:v>
      </x:c>
      <x:c r="O4" s="24" t="str">
        <x:v>Publication sensitivity</x:v>
      </x:c>
      <x:c r="P4" s="24" t="str">
        <x:v>Core research question</x:v>
      </x:c>
      <x:c r="Q4" s="24" t="str">
        <x:v>Public source</x:v>
      </x:c>
    </x:row>
    <x:row r="5">
      <x:c r="A5" s="30" t="n">
        <x:v>1</x:v>
      </x:c>
      <x:c r="B5" s="29" t="str">
        <x:v>J (identity unresolved)</x:v>
      </x:c>
      <x:c r="C5" s="29" t="str">
        <x:v>—</x:v>
      </x:c>
      <x:c r="D5" s="29" t="str">
        <x:v>—</x:v>
      </x:c>
      <x:c r="E5" s="29" t="str">
        <x:v>To classify</x:v>
      </x:c>
      <x:c r="F5" s="29" t="str">
        <x:v>To assess</x:v>
      </x:c>
      <x:c r="G5" s="29" t="str">
        <x:v>Ukraine-related experience — assess</x:v>
      </x:c>
      <x:c r="H5" s="29" t="str">
        <x:v>Group entry only</x:v>
      </x:c>
      <x:c r="I5" s="29" t="str">
        <x:v>To assess</x:v>
      </x:c>
      <x:c r="J5" s="29" t="str">
        <x:v>Member / participant</x:v>
      </x:c>
      <x:c r="K5" s="29" t="str">
        <x:v>Professional experience from Ukraine — topic to be defined</x:v>
      </x:c>
      <x:c r="L5" s="29" t="str">
        <x:v>To assess</x:v>
      </x:c>
      <x:c r="M5" s="29" t="str">
        <x:v>Not researched</x:v>
      </x:c>
      <x:c r="N5" s="29" t="str">
        <x:v>Not requested</x:v>
      </x:c>
      <x:c r="O5" s="29" t="str">
        <x:v>Human review and permission required before publication</x:v>
      </x:c>
      <x:c r="P5" s="29" t="str">
        <x:v>What did this person or organisation learn in Ukraine after 2022; what worked, what failed, and what is transferable?</x:v>
      </x:c>
      <x:c r="Q5" s="29"/>
    </x:row>
    <x:row r="6">
      <x:c r="A6" s="30" t="n">
        <x:v>2</x:v>
      </x:c>
      <x:c r="B6" s="29" t="str">
        <x:v>Jack Ward Bleach</x:v>
      </x:c>
      <x:c r="C6" s="29" t="str">
        <x:v>JB Risk Advisory Ltd</x:v>
      </x:c>
      <x:c r="D6" s="29" t="str">
        <x:v>Founder / risk adviser</x:v>
      </x:c>
      <x:c r="E6" s="29" t="str">
        <x:v>Security / risk / resilience</x:v>
      </x:c>
      <x:c r="F6" s="29" t="str">
        <x:v>Security, strategic risk and crisis management</x:v>
      </x:c>
      <x:c r="G6" s="29" t="str">
        <x:v>Security and risk operations in wartime — verify</x:v>
      </x:c>
      <x:c r="H6" s="29" t="str">
        <x:v>Public source plus group data</x:v>
      </x:c>
      <x:c r="I6" s="29" t="str">
        <x:v>Speaker / interviewee / case-study contributor</x:v>
      </x:c>
      <x:c r="J6" s="29" t="str">
        <x:v>Institutional partner candidate</x:v>
      </x:c>
      <x:c r="K6" s="29" t="str">
        <x:v>What changed in security and risk management after 2022</x:v>
      </x:c>
      <x:c r="L6" s="29" t="str">
        <x:v>Potentially relevant internationally — verify through interview</x:v>
      </x:c>
      <x:c r="M6" s="29" t="str">
        <x:v>Probable profile; match requires verification</x:v>
      </x:c>
      <x:c r="N6" s="29" t="str">
        <x:v>Not requested</x:v>
      </x:c>
      <x:c r="O6" s="29" t="str">
        <x:v>Human review and permission required before publication</x:v>
      </x:c>
      <x:c r="P6" s="29" t="str">
        <x:v>What did this person or organisation learn in Ukraine after 2022; what worked, what failed, and what is transferable?</x:v>
      </x:c>
      <x:c r="Q6" s="29" t="str">
        <x:v>https://www.jbriskadvisory.co.uk/</x:v>
      </x:c>
    </x:row>
    <x:row r="7">
      <x:c r="A7" s="30" t="n">
        <x:v>3</x:v>
      </x:c>
      <x:c r="B7" s="29" t="str">
        <x:v>Jack Lakawitch</x:v>
      </x:c>
      <x:c r="C7" s="29" t="str">
        <x:v>—</x:v>
      </x:c>
      <x:c r="D7" s="29" t="str">
        <x:v>—</x:v>
      </x:c>
      <x:c r="E7" s="29" t="str">
        <x:v>To classify</x:v>
      </x:c>
      <x:c r="F7" s="29" t="str">
        <x:v>To assess</x:v>
      </x:c>
      <x:c r="G7" s="29" t="str">
        <x:v>Ukraine-related experience — assess</x:v>
      </x:c>
      <x:c r="H7" s="29" t="str">
        <x:v>Group entry only</x:v>
      </x:c>
      <x:c r="I7" s="29" t="str">
        <x:v>To assess</x:v>
      </x:c>
      <x:c r="J7" s="29" t="str">
        <x:v>Member / participant</x:v>
      </x:c>
      <x:c r="K7" s="29" t="str">
        <x:v>Professional experience from Ukraine — topic to be defined</x:v>
      </x:c>
      <x:c r="L7" s="29" t="str">
        <x:v>To assess</x:v>
      </x:c>
      <x:c r="M7" s="29" t="str">
        <x:v>Identity stated; professional profile required</x:v>
      </x:c>
      <x:c r="N7" s="29" t="str">
        <x:v>Not requested</x:v>
      </x:c>
      <x:c r="O7" s="29" t="str">
        <x:v>Human review and permission required before publication</x:v>
      </x:c>
      <x:c r="P7" s="29" t="str">
        <x:v>What did this person or organisation learn in Ukraine after 2022; what worked, what failed, and what is transferable?</x:v>
      </x:c>
      <x:c r="Q7" s="29"/>
    </x:row>
    <x:row r="8">
      <x:c r="A8" s="30" t="n">
        <x:v>4</x:v>
      </x:c>
      <x:c r="B8" s="29" t="str">
        <x:v>Jamie Macpherson</x:v>
      </x:c>
      <x:c r="C8" s="29" t="str">
        <x:v>Control Risks</x:v>
      </x:c>
      <x:c r="D8" s="29" t="str">
        <x:v>Country Director, Ukraine</x:v>
      </x:c>
      <x:c r="E8" s="29" t="str">
        <x:v>Security / risk / resilience</x:v>
      </x:c>
      <x:c r="F8" s="29" t="str">
        <x:v>Strategic risk, security advisory and organisational resilience</x:v>
      </x:c>
      <x:c r="G8" s="29" t="str">
        <x:v>Leads Control Risks work supporting government, NGO and private-sector clients operating in Ukraine.</x:v>
      </x:c>
      <x:c r="H8" s="29" t="str">
        <x:v>Documented public Ukraine role</x:v>
      </x:c>
      <x:c r="I8" s="29" t="str">
        <x:v>Senior speaker; strategic-risk case contributor; institutional connector</x:v>
      </x:c>
      <x:c r="J8" s="29" t="str">
        <x:v>Institutional partner candidate</x:v>
      </x:c>
      <x:c r="K8" s="29" t="str">
        <x:v>How organisations make defensible decisions in a fast-changing conflict environment</x:v>
      </x:c>
      <x:c r="L8" s="29" t="str">
        <x:v>Operating models for high-risk markets and prolonged geopolitical disruption</x:v>
      </x:c>
      <x:c r="M8" s="29" t="str">
        <x:v>Public research completed; interview and consent required</x:v>
      </x:c>
      <x:c r="N8" s="29" t="str">
        <x:v>Not requested</x:v>
      </x:c>
      <x:c r="O8" s="29" t="str">
        <x:v>Human review and permission required before publication</x:v>
      </x:c>
      <x:c r="P8" s="29" t="str">
        <x:v>Which risk assumptions used before 2022 failed first, and what decision practices now work better?</x:v>
      </x:c>
      <x:c r="Q8" s="29" t="str">
        <x:v>https://ua.linkedin.com/in/jamie-macpherson-55a46515</x:v>
      </x:c>
    </x:row>
    <x:row r="9">
      <x:c r="A9" s="30" t="n">
        <x:v>5</x:v>
      </x:c>
      <x:c r="B9" s="29" t="str">
        <x:v>Jeff D (identity unresolved)</x:v>
      </x:c>
      <x:c r="C9" s="29" t="str">
        <x:v>—</x:v>
      </x:c>
      <x:c r="D9" s="29" t="str">
        <x:v>—</x:v>
      </x:c>
      <x:c r="E9" s="29" t="str">
        <x:v>To classify</x:v>
      </x:c>
      <x:c r="F9" s="29" t="str">
        <x:v>To assess</x:v>
      </x:c>
      <x:c r="G9" s="29" t="str">
        <x:v>Ukraine-related experience — assess</x:v>
      </x:c>
      <x:c r="H9" s="29" t="str">
        <x:v>Group entry only</x:v>
      </x:c>
      <x:c r="I9" s="29" t="str">
        <x:v>To assess</x:v>
      </x:c>
      <x:c r="J9" s="29" t="str">
        <x:v>Member / participant</x:v>
      </x:c>
      <x:c r="K9" s="29" t="str">
        <x:v>Professional experience from Ukraine — topic to be defined</x:v>
      </x:c>
      <x:c r="L9" s="29" t="str">
        <x:v>To assess</x:v>
      </x:c>
      <x:c r="M9" s="29" t="str">
        <x:v>Identity stated; professional profile required</x:v>
      </x:c>
      <x:c r="N9" s="29" t="str">
        <x:v>Not requested</x:v>
      </x:c>
      <x:c r="O9" s="29" t="str">
        <x:v>Human review and permission required before publication</x:v>
      </x:c>
      <x:c r="P9" s="29" t="str">
        <x:v>What did this person or organisation learn in Ukraine after 2022; what worked, what failed, and what is transferable?</x:v>
      </x:c>
      <x:c r="Q9" s="29"/>
    </x:row>
    <x:row r="10">
      <x:c r="A10" s="30" t="n">
        <x:v>6</x:v>
      </x:c>
      <x:c r="B10" s="29" t="str">
        <x:v>Jen Kosydar</x:v>
      </x:c>
      <x:c r="C10" s="29" t="str">
        <x:v>Svitanok Global LLC</x:v>
      </x:c>
      <x:c r="D10" s="29" t="str">
        <x:v>Founder and Managing Director</x:v>
      </x:c>
      <x:c r="E10" s="29" t="str">
        <x:v>Business / advisory</x:v>
      </x:c>
      <x:c r="F10" s="29" t="str">
        <x:v>Strategic intelligence, political risk, disputes support, due diligence and asset tracing</x:v>
      </x:c>
      <x:c r="G10" s="29" t="str">
        <x:v>Public profile establishes Ukraine-related advisory positioning, but no specific wartime case was found.</x:v>
      </x:c>
      <x:c r="H10" s="29" t="str">
        <x:v>Public professional profile; case interview required</x:v>
      </x:c>
      <x:c r="I10" s="29" t="str">
        <x:v>Speaker; research contributor; advisory partner</x:v>
      </x:c>
      <x:c r="J10" s="29" t="str">
        <x:v>Member / participant</x:v>
      </x:c>
      <x:c r="K10" s="29" t="str">
        <x:v>Independent intelligence for decisions in opaque and frontier markets</x:v>
      </x:c>
      <x:c r="L10" s="29" t="str">
        <x:v>Due diligence and political-risk methods for volatile jurisdictions</x:v>
      </x:c>
      <x:c r="M10" s="29" t="str">
        <x:v>Public research completed; interview and consent required</x:v>
      </x:c>
      <x:c r="N10" s="29" t="str">
        <x:v>Not requested</x:v>
      </x:c>
      <x:c r="O10" s="29" t="str">
        <x:v>Human review and permission required before publication</x:v>
      </x:c>
      <x:c r="P10" s="29" t="str">
        <x:v>Which Ukraine-derived intelligence methods are most transferable to other frontier markets?</x:v>
      </x:c>
      <x:c r="Q10" s="29" t="str">
        <x:v>https://www.svitanokglobal.com/about</x:v>
      </x:c>
    </x:row>
    <x:row r="11">
      <x:c r="A11" s="30" t="n">
        <x:v>7</x:v>
      </x:c>
      <x:c r="B11" s="29" t="str">
        <x:v>Jon (surname unknown)</x:v>
      </x:c>
      <x:c r="C11" s="29" t="str">
        <x:v>Vargar</x:v>
      </x:c>
      <x:c r="D11" s="29" t="str">
        <x:v>Managing Director</x:v>
      </x:c>
      <x:c r="E11" s="29" t="str">
        <x:v>Security / risk / resilience</x:v>
      </x:c>
      <x:c r="F11" s="29" t="str">
        <x:v>Security, strategic risk and crisis management</x:v>
      </x:c>
      <x:c r="G11" s="29" t="str">
        <x:v>Security and risk operations in wartime — verify</x:v>
      </x:c>
      <x:c r="H11" s="29" t="str">
        <x:v>WhatsApp profile / group data only</x:v>
      </x:c>
      <x:c r="I11" s="29" t="str">
        <x:v>Speaker / interviewee / case-study contributor</x:v>
      </x:c>
      <x:c r="J11" s="29" t="str">
        <x:v>Member / participant</x:v>
      </x:c>
      <x:c r="K11" s="29" t="str">
        <x:v>What changed in security and risk management after 2022</x:v>
      </x:c>
      <x:c r="L11" s="29" t="str">
        <x:v>Potentially relevant internationally — verify through interview</x:v>
      </x:c>
      <x:c r="M11" s="29" t="str">
        <x:v>Role known; identity and experience require verification</x:v>
      </x:c>
      <x:c r="N11" s="29" t="str">
        <x:v>Not requested</x:v>
      </x:c>
      <x:c r="O11" s="29" t="str">
        <x:v>Human review and permission required before publication</x:v>
      </x:c>
      <x:c r="P11" s="29" t="str">
        <x:v>What did this person or organisation learn in Ukraine after 2022; what worked, what failed, and what is transferable?</x:v>
      </x:c>
      <x:c r="Q11" s="29"/>
    </x:row>
    <x:row r="12">
      <x:c r="A12" s="30" t="n">
        <x:v>8</x:v>
      </x:c>
      <x:c r="B12" s="29" t="str">
        <x:v>José Manuel Pinto Teixeira</x:v>
      </x:c>
      <x:c r="C12" s="29" t="str">
        <x:v>ECES / international governance sector</x:v>
      </x:c>
      <x:c r="D12" s="29" t="str">
        <x:v>Vice President; senior elections and governance expert</x:v>
      </x:c>
      <x:c r="E12" s="29" t="str">
        <x:v>Legal / governance / institutions</x:v>
      </x:c>
      <x:c r="F12" s="29" t="str">
        <x:v>Elections, governance, diplomacy and international crisis missions</x:v>
      </x:c>
      <x:c r="G12" s="29" t="str">
        <x:v>Former EU Ambassador to Ukraine; extensive international governance and humanitarian-mission experience. A post-2022 operational case was not identified.</x:v>
      </x:c>
      <x:c r="H12" s="29" t="str">
        <x:v>Documented senior Ukraine and international experience</x:v>
      </x:c>
      <x:c r="I12" s="29" t="str">
        <x:v>Keynote speaker; governance adviser; international connector</x:v>
      </x:c>
      <x:c r="J12" s="29" t="str">
        <x:v>Connector / community multiplier</x:v>
      </x:c>
      <x:c r="K12" s="29" t="str">
        <x:v>Institutional legitimacy and governance under geopolitical pressure</x:v>
      </x:c>
      <x:c r="L12" s="29" t="str">
        <x:v>Election integrity, diplomacy and governance in fragile environments</x:v>
      </x:c>
      <x:c r="M12" s="29" t="str">
        <x:v>Public research completed; interview and consent required</x:v>
      </x:c>
      <x:c r="N12" s="29" t="str">
        <x:v>Not requested</x:v>
      </x:c>
      <x:c r="O12" s="29" t="str">
        <x:v>Human review and permission required before publication</x:v>
      </x:c>
      <x:c r="P12" s="29" t="str">
        <x:v>What does Ukraine teach about preserving institutional legitimacy during existential crisis?</x:v>
      </x:c>
      <x:c r="Q12" s="29" t="str">
        <x:v>https://www.eces.eu/en/jose-manuel-pintoteixeira</x:v>
      </x:c>
    </x:row>
    <x:row r="13">
      <x:c r="A13" s="30" t="n">
        <x:v>9</x:v>
      </x:c>
      <x:c r="B13" s="29" t="str">
        <x:v>John Jones</x:v>
      </x:c>
      <x:c r="C13" s="29" t="str">
        <x:v>Frishberg &amp; Partners / British-Ukrainian Chamber of Commerce</x:v>
      </x:c>
      <x:c r="D13" s="29" t="str">
        <x:v>Director of Business Development; BUCC Co-Chair</x:v>
      </x:c>
      <x:c r="E13" s="29" t="str">
        <x:v>Legal / governance / institutions</x:v>
      </x:c>
      <x:c r="F13" s="29" t="str">
        <x:v>International business development, market entry and UK–Ukraine commercial networks</x:v>
      </x:c>
      <x:c r="G13" s="29" t="str">
        <x:v>Long-standing business-network role in Ukraine; no discrete public wartime case was identified.</x:v>
      </x:c>
      <x:c r="H13" s="29" t="str">
        <x:v>Public professional profile; case interview required</x:v>
      </x:c>
      <x:c r="I13" s="29" t="str">
        <x:v>Institutional connector; roundtable host; partnership lead</x:v>
      </x:c>
      <x:c r="J13" s="29" t="str">
        <x:v>Group administrator / community organiser</x:v>
      </x:c>
      <x:c r="K13" s="29" t="str">
        <x:v>Maintaining international commercial relationships through war and recovery</x:v>
      </x:c>
      <x:c r="L13" s="29" t="str">
        <x:v>Business diplomacy, investor access and reconstruction partnerships</x:v>
      </x:c>
      <x:c r="M13" s="29" t="str">
        <x:v>Public research completed; interview and consent required</x:v>
      </x:c>
      <x:c r="N13" s="29" t="str">
        <x:v>Not requested</x:v>
      </x:c>
      <x:c r="O13" s="29" t="str">
        <x:v>Human review and permission required before publication</x:v>
      </x:c>
      <x:c r="P13" s="29" t="str">
        <x:v>What prevents foreign firms from converting interest in Ukraine into responsible, durable engagement?</x:v>
      </x:c>
      <x:c r="Q13" s="29" t="str">
        <x:v>https://ua.linkedin.com/in/john-jones-ba198a3</x:v>
      </x:c>
    </x:row>
    <x:row r="14">
      <x:c r="A14" s="30" t="n">
        <x:v>10</x:v>
      </x:c>
      <x:c r="B14" s="29" t="str">
        <x:v>Karina (surname unknown)</x:v>
      </x:c>
      <x:c r="C14" s="29" t="str">
        <x:v>—</x:v>
      </x:c>
      <x:c r="D14" s="29" t="str">
        <x:v>—</x:v>
      </x:c>
      <x:c r="E14" s="29" t="str">
        <x:v>To classify</x:v>
      </x:c>
      <x:c r="F14" s="29" t="str">
        <x:v>To assess</x:v>
      </x:c>
      <x:c r="G14" s="29" t="str">
        <x:v>Ukraine-related experience — assess</x:v>
      </x:c>
      <x:c r="H14" s="29" t="str">
        <x:v>Group entry only</x:v>
      </x:c>
      <x:c r="I14" s="29" t="str">
        <x:v>To assess</x:v>
      </x:c>
      <x:c r="J14" s="29" t="str">
        <x:v>Member / participant</x:v>
      </x:c>
      <x:c r="K14" s="29" t="str">
        <x:v>Professional experience from Ukraine — topic to be defined</x:v>
      </x:c>
      <x:c r="L14" s="29" t="str">
        <x:v>To assess</x:v>
      </x:c>
      <x:c r="M14" s="29" t="str">
        <x:v>Identity stated; professional profile required</x:v>
      </x:c>
      <x:c r="N14" s="29" t="str">
        <x:v>Not requested</x:v>
      </x:c>
      <x:c r="O14" s="29" t="str">
        <x:v>Human review and permission required before publication</x:v>
      </x:c>
      <x:c r="P14" s="29" t="str">
        <x:v>What did this person or organisation learn in Ukraine after 2022; what worked, what failed, and what is transferable?</x:v>
      </x:c>
      <x:c r="Q14" s="29"/>
    </x:row>
    <x:row r="15">
      <x:c r="A15" s="30" t="n">
        <x:v>11</x:v>
      </x:c>
      <x:c r="B15" s="29" t="str">
        <x:v>Kateryna Panshyna</x:v>
      </x:c>
      <x:c r="C15" s="29" t="str">
        <x:v>—</x:v>
      </x:c>
      <x:c r="D15" s="29" t="str">
        <x:v>—</x:v>
      </x:c>
      <x:c r="E15" s="29" t="str">
        <x:v>To classify</x:v>
      </x:c>
      <x:c r="F15" s="29" t="str">
        <x:v>To assess</x:v>
      </x:c>
      <x:c r="G15" s="29" t="str">
        <x:v>Ukraine-related experience — assess</x:v>
      </x:c>
      <x:c r="H15" s="29" t="str">
        <x:v>Group entry only</x:v>
      </x:c>
      <x:c r="I15" s="29" t="str">
        <x:v>To assess</x:v>
      </x:c>
      <x:c r="J15" s="29" t="str">
        <x:v>Member / participant</x:v>
      </x:c>
      <x:c r="K15" s="29" t="str">
        <x:v>Professional experience from Ukraine — topic to be defined</x:v>
      </x:c>
      <x:c r="L15" s="29" t="str">
        <x:v>To assess</x:v>
      </x:c>
      <x:c r="M15" s="29" t="str">
        <x:v>Identity stated; professional profile required</x:v>
      </x:c>
      <x:c r="N15" s="29" t="str">
        <x:v>Not requested</x:v>
      </x:c>
      <x:c r="O15" s="29" t="str">
        <x:v>Human review and permission required before publication</x:v>
      </x:c>
      <x:c r="P15" s="29" t="str">
        <x:v>What did this person or organisation learn in Ukraine after 2022; what worked, what failed, and what is transferable?</x:v>
      </x:c>
      <x:c r="Q15" s="29"/>
    </x:row>
    <x:row r="16">
      <x:c r="A16" s="30" t="n">
        <x:v>12</x:v>
      </x:c>
      <x:c r="B16" s="29" t="str">
        <x:v>Kateryna Repetska</x:v>
      </x:c>
      <x:c r="C16" s="29" t="str">
        <x:v>INSO Ukraine</x:v>
      </x:c>
      <x:c r="D16" s="29" t="str">
        <x:v>Training Officer</x:v>
      </x:c>
      <x:c r="E16" s="29" t="str">
        <x:v>Security / risk / resilience</x:v>
      </x:c>
      <x:c r="F16" s="29" t="str">
        <x:v>Security, strategic risk and crisis management</x:v>
      </x:c>
      <x:c r="G16" s="29" t="str">
        <x:v>Security and risk operations in wartime — verify</x:v>
      </x:c>
      <x:c r="H16" s="29" t="str">
        <x:v>Public source plus group data</x:v>
      </x:c>
      <x:c r="I16" s="29" t="str">
        <x:v>Trainer / case-study contributor</x:v>
      </x:c>
      <x:c r="J16" s="29" t="str">
        <x:v>Connector / community multiplier</x:v>
      </x:c>
      <x:c r="K16" s="29" t="str">
        <x:v>What changed in security and risk management after 2022</x:v>
      </x:c>
      <x:c r="L16" s="29" t="str">
        <x:v>Potentially relevant internationally — verify through interview</x:v>
      </x:c>
      <x:c r="M16" s="29" t="str">
        <x:v>Identity stated; professional profile required</x:v>
      </x:c>
      <x:c r="N16" s="29" t="str">
        <x:v>Not requested</x:v>
      </x:c>
      <x:c r="O16" s="29" t="str">
        <x:v>Human review and permission required before publication</x:v>
      </x:c>
      <x:c r="P16" s="29" t="str">
        <x:v>What did this person or organisation learn in Ukraine after 2022; what worked, what failed, and what is transferable?</x:v>
      </x:c>
      <x:c r="Q16" s="29" t="str">
        <x:v>https://www.ngosafety.org/</x:v>
      </x:c>
    </x:row>
    <x:row r="17">
      <x:c r="A17" s="30" t="n">
        <x:v>13</x:v>
      </x:c>
      <x:c r="B17" s="29" t="str">
        <x:v>Kerry (surname unknown)</x:v>
      </x:c>
      <x:c r="C17" s="29" t="str">
        <x:v>—</x:v>
      </x:c>
      <x:c r="D17" s="29" t="str">
        <x:v>—</x:v>
      </x:c>
      <x:c r="E17" s="29" t="str">
        <x:v>To classify</x:v>
      </x:c>
      <x:c r="F17" s="29" t="str">
        <x:v>To assess</x:v>
      </x:c>
      <x:c r="G17" s="29" t="str">
        <x:v>Ukraine-related experience — assess</x:v>
      </x:c>
      <x:c r="H17" s="29" t="str">
        <x:v>Group entry only</x:v>
      </x:c>
      <x:c r="I17" s="29" t="str">
        <x:v>To assess</x:v>
      </x:c>
      <x:c r="J17" s="29" t="str">
        <x:v>Member / participant</x:v>
      </x:c>
      <x:c r="K17" s="29" t="str">
        <x:v>Professional experience from Ukraine — topic to be defined</x:v>
      </x:c>
      <x:c r="L17" s="29" t="str">
        <x:v>To assess</x:v>
      </x:c>
      <x:c r="M17" s="29" t="str">
        <x:v>Not researched</x:v>
      </x:c>
      <x:c r="N17" s="29" t="str">
        <x:v>Not requested</x:v>
      </x:c>
      <x:c r="O17" s="29" t="str">
        <x:v>Human review and permission required before publication</x:v>
      </x:c>
      <x:c r="P17" s="29" t="str">
        <x:v>What did this person or organisation learn in Ukraine after 2022; what worked, what failed, and what is transferable?</x:v>
      </x:c>
      <x:c r="Q17" s="29"/>
    </x:row>
    <x:row r="18">
      <x:c r="A18" s="30" t="n">
        <x:v>14</x:v>
      </x:c>
      <x:c r="B18" s="29" t="str">
        <x:v>Kristina (surname unknown)</x:v>
      </x:c>
      <x:c r="C18" s="29" t="str">
        <x:v>—</x:v>
      </x:c>
      <x:c r="D18" s="29" t="str">
        <x:v>—</x:v>
      </x:c>
      <x:c r="E18" s="29" t="str">
        <x:v>To classify</x:v>
      </x:c>
      <x:c r="F18" s="29" t="str">
        <x:v>To assess</x:v>
      </x:c>
      <x:c r="G18" s="29" t="str">
        <x:v>Ukraine-related experience — assess</x:v>
      </x:c>
      <x:c r="H18" s="29" t="str">
        <x:v>Group entry only</x:v>
      </x:c>
      <x:c r="I18" s="29" t="str">
        <x:v>To assess</x:v>
      </x:c>
      <x:c r="J18" s="29" t="str">
        <x:v>Member / participant</x:v>
      </x:c>
      <x:c r="K18" s="29" t="str">
        <x:v>Professional experience from Ukraine — topic to be defined</x:v>
      </x:c>
      <x:c r="L18" s="29" t="str">
        <x:v>To assess</x:v>
      </x:c>
      <x:c r="M18" s="29" t="str">
        <x:v>Not researched</x:v>
      </x:c>
      <x:c r="N18" s="29" t="str">
        <x:v>Not requested</x:v>
      </x:c>
      <x:c r="O18" s="29" t="str">
        <x:v>Human review and permission required before publication</x:v>
      </x:c>
      <x:c r="P18" s="29" t="str">
        <x:v>What did this person or organisation learn in Ukraine after 2022; what worked, what failed, and what is transferable?</x:v>
      </x:c>
      <x:c r="Q18" s="29"/>
    </x:row>
    <x:row r="19">
      <x:c r="A19" s="30" t="n">
        <x:v>15</x:v>
      </x:c>
      <x:c r="B19" s="29" t="str">
        <x:v>Kseniia (surname unknown)</x:v>
      </x:c>
      <x:c r="C19" s="29" t="str">
        <x:v>AMAU / Risoil</x:v>
      </x:c>
      <x:c r="D19" s="29" t="str">
        <x:v>CEO, AMAU; adviser at Risoil</x:v>
      </x:c>
      <x:c r="E19" s="29" t="str">
        <x:v>Energy / infrastructure / logistics</x:v>
      </x:c>
      <x:c r="F19" s="29" t="str">
        <x:v>Critical infrastructure and operational continuity</x:v>
      </x:c>
      <x:c r="G19" s="29" t="str">
        <x:v>Infrastructure, logistics and continuity under attack — verify</x:v>
      </x:c>
      <x:c r="H19" s="29" t="str">
        <x:v>Public source plus group data</x:v>
      </x:c>
      <x:c r="I19" s="29" t="str">
        <x:v>Speaker / interviewee / case-study contributor</x:v>
      </x:c>
      <x:c r="J19" s="29" t="str">
        <x:v>Member / participant</x:v>
      </x:c>
      <x:c r="K19" s="29" t="str">
        <x:v>Keeping essential systems and supply chains operating</x:v>
      </x:c>
      <x:c r="L19" s="29" t="str">
        <x:v>Potentially relevant internationally — verify through interview</x:v>
      </x:c>
      <x:c r="M19" s="29" t="str">
        <x:v>Role known; identity and experience require verification</x:v>
      </x:c>
      <x:c r="N19" s="29" t="str">
        <x:v>Not requested</x:v>
      </x:c>
      <x:c r="O19" s="29" t="str">
        <x:v>Human review and permission required before publication</x:v>
      </x:c>
      <x:c r="P19" s="29" t="str">
        <x:v>What did this person or organisation learn in Ukraine after 2022; what worked, what failed, and what is transferable?</x:v>
      </x:c>
      <x:c r="Q19" s="29" t="str">
        <x:v>https://risoil.com/en/home-english/</x:v>
      </x:c>
    </x:row>
    <x:row r="20">
      <x:c r="A20" s="30" t="n">
        <x:v>16</x:v>
      </x:c>
      <x:c r="B20" s="29" t="str">
        <x:v>Kseniia Pidruchna (profile also uses Kluban)</x:v>
      </x:c>
      <x:c r="C20" s="29" t="str">
        <x:v>ISRM Ukraine</x:v>
      </x:c>
      <x:c r="D20" s="29" t="str">
        <x:v>Women in Strategic Risk lead</x:v>
      </x:c>
      <x:c r="E20" s="29" t="str">
        <x:v>Security / risk / resilience</x:v>
      </x:c>
      <x:c r="F20" s="29" t="str">
        <x:v>Community leadership and women’s participation in strategic risk</x:v>
      </x:c>
      <x:c r="G20" s="29" t="str">
        <x:v>Public chapter role confirmed; underlying professional and wartime case require interview verification.</x:v>
      </x:c>
      <x:c r="H20" s="29" t="str">
        <x:v>Official chapter role; professional case interview required</x:v>
      </x:c>
      <x:c r="I20" s="29" t="str">
        <x:v>Programme lead; mentor; community organiser</x:v>
      </x:c>
      <x:c r="J20" s="29" t="str">
        <x:v>Chapter team / community organiser</x:v>
      </x:c>
      <x:c r="K20" s="29" t="str">
        <x:v>Women’s leadership in Ukraine’s strategic-risk profession</x:v>
      </x:c>
      <x:c r="L20" s="29" t="str">
        <x:v>Inclusive professional communities and leadership pipelines</x:v>
      </x:c>
      <x:c r="M20" s="29" t="str">
        <x:v>Public research completed; interview and consent required</x:v>
      </x:c>
      <x:c r="N20" s="29" t="str">
        <x:v>Not requested</x:v>
      </x:c>
      <x:c r="O20" s="29" t="str">
        <x:v>Human review and permission required before publication</x:v>
      </x:c>
      <x:c r="P20" s="29" t="str">
        <x:v>Which barriers and opportunities are distinctive for women working in strategic risk in wartime Ukraine?</x:v>
      </x:c>
      <x:c r="Q20" s="29" t="str">
        <x:v>https://www.theisrm.org/international-chapters/ukraine-chapter/</x:v>
      </x:c>
    </x:row>
    <x:row r="21">
      <x:c r="A21" s="30" t="n">
        <x:v>17</x:v>
      </x:c>
      <x:c r="B21" s="29" t="str">
        <x:v>Larysa Zomchak</x:v>
      </x:c>
      <x:c r="C21" s="29" t="str">
        <x:v>Ivan Franko National University of Lviv</x:v>
      </x:c>
      <x:c r="D21" s="29" t="str">
        <x:v>Associate Professor</x:v>
      </x:c>
      <x:c r="E21" s="29" t="str">
        <x:v>Academia / research</x:v>
      </x:c>
      <x:c r="F21" s="29" t="str">
        <x:v>Regional economics, data analysis and economic resilience</x:v>
      </x:c>
      <x:c r="G21" s="29" t="str">
        <x:v>Research covers regional economic resilience, external economic activity, displacement and innovation before and during the full-scale war.</x:v>
      </x:c>
      <x:c r="H21" s="29" t="str">
        <x:v>Documented public research</x:v>
      </x:c>
      <x:c r="I21" s="29" t="str">
        <x:v>Research author; academic reviewer; data-led speaker</x:v>
      </x:c>
      <x:c r="J21" s="29" t="str">
        <x:v>Member / participant</x:v>
      </x:c>
      <x:c r="K21" s="29" t="str">
        <x:v>Why some Ukrainian regions and economic systems adapt better than others</x:v>
      </x:c>
      <x:c r="L21" s="29" t="str">
        <x:v>Evidence-based regional resilience policy under geopolitical shock</x:v>
      </x:c>
      <x:c r="M21" s="29" t="str">
        <x:v>Public research completed; interview and consent required</x:v>
      </x:c>
      <x:c r="N21" s="29" t="str">
        <x:v>Not requested</x:v>
      </x:c>
      <x:c r="O21" s="29" t="str">
        <x:v>Human review and permission required before publication</x:v>
      </x:c>
      <x:c r="P21" s="29" t="str">
        <x:v>Which measurable factors best explain regional resilience since 2022?</x:v>
      </x:c>
      <x:c r="Q21" s="29" t="str">
        <x:v>https://www.researchgate.net/profile/Larysa-Zomchak</x:v>
      </x:c>
    </x:row>
    <x:row r="22">
      <x:c r="A22" s="30" t="n">
        <x:v>18</x:v>
      </x:c>
      <x:c r="B22" s="29" t="str">
        <x:v>Leonid (surname unknown)</x:v>
      </x:c>
      <x:c r="C22" s="29" t="str">
        <x:v>—</x:v>
      </x:c>
      <x:c r="D22" s="29" t="str">
        <x:v>—</x:v>
      </x:c>
      <x:c r="E22" s="29" t="str">
        <x:v>To classify</x:v>
      </x:c>
      <x:c r="F22" s="29" t="str">
        <x:v>To assess</x:v>
      </x:c>
      <x:c r="G22" s="29" t="str">
        <x:v>Ukraine-related experience — assess</x:v>
      </x:c>
      <x:c r="H22" s="29" t="str">
        <x:v>Group entry only</x:v>
      </x:c>
      <x:c r="I22" s="29" t="str">
        <x:v>To assess</x:v>
      </x:c>
      <x:c r="J22" s="29" t="str">
        <x:v>Member / participant</x:v>
      </x:c>
      <x:c r="K22" s="29" t="str">
        <x:v>Professional experience from Ukraine — topic to be defined</x:v>
      </x:c>
      <x:c r="L22" s="29" t="str">
        <x:v>To assess</x:v>
      </x:c>
      <x:c r="M22" s="29" t="str">
        <x:v>Not researched</x:v>
      </x:c>
      <x:c r="N22" s="29" t="str">
        <x:v>Not requested</x:v>
      </x:c>
      <x:c r="O22" s="29" t="str">
        <x:v>Human review and permission required before publication</x:v>
      </x:c>
      <x:c r="P22" s="29" t="str">
        <x:v>What did this person or organisation learn in Ukraine after 2022; what worked, what failed, and what is transferable?</x:v>
      </x:c>
      <x:c r="Q22" s="29"/>
    </x:row>
    <x:row r="23">
      <x:c r="A23" s="30" t="n">
        <x:v>19</x:v>
      </x:c>
      <x:c r="B23" s="29" t="str">
        <x:v>Lloyd Green</x:v>
      </x:c>
      <x:c r="C23" s="29" t="str">
        <x:v>Media HRA (as stated)</x:v>
      </x:c>
      <x:c r="D23" s="29" t="str">
        <x:v>Media/HRA professional; exact remit unclear</x:v>
      </x:c>
      <x:c r="E23" s="29" t="str">
        <x:v>Media / communications</x:v>
      </x:c>
      <x:c r="F23" s="29" t="str">
        <x:v>Crisis communications and information environment</x:v>
      </x:c>
      <x:c r="G23" s="29" t="str">
        <x:v>Communicating during prolonged national crisis — verify</x:v>
      </x:c>
      <x:c r="H23" s="29" t="str">
        <x:v>WhatsApp profile / group data only</x:v>
      </x:c>
      <x:c r="I23" s="29" t="str">
        <x:v>To assess</x:v>
      </x:c>
      <x:c r="J23" s="29" t="str">
        <x:v>Member / participant</x:v>
      </x:c>
      <x:c r="K23" s="29" t="str">
        <x:v>Trust, information and public communication during war</x:v>
      </x:c>
      <x:c r="L23" s="29" t="str">
        <x:v>Potentially relevant internationally — verify through interview</x:v>
      </x:c>
      <x:c r="M23" s="29" t="str">
        <x:v>Identity stated; professional profile required</x:v>
      </x:c>
      <x:c r="N23" s="29" t="str">
        <x:v>Not requested</x:v>
      </x:c>
      <x:c r="O23" s="29" t="str">
        <x:v>Human review and permission required before publication</x:v>
      </x:c>
      <x:c r="P23" s="29" t="str">
        <x:v>What did this person or organisation learn in Ukraine after 2022; what worked, what failed, and what is transferable?</x:v>
      </x:c>
      <x:c r="Q23" s="29"/>
    </x:row>
    <x:row r="24">
      <x:c r="A24" s="30" t="n">
        <x:v>20</x:v>
      </x:c>
      <x:c r="B24" s="29" t="str">
        <x:v>Lloyd Widdup</x:v>
      </x:c>
      <x:c r="C24" s="29" t="str">
        <x:v>Independent / NGO advisory</x:v>
      </x:c>
      <x:c r="D24" s="29" t="str">
        <x:v>Close protection and NGO security adviser</x:v>
      </x:c>
      <x:c r="E24" s="29" t="str">
        <x:v>Humanitarian / NGO</x:v>
      </x:c>
      <x:c r="F24" s="29" t="str">
        <x:v>Protective security and NGO duty of care</x:v>
      </x:c>
      <x:c r="G24" s="29" t="str">
        <x:v>Public profile supports the professional field, but no reliable Ukraine wartime case was identified.</x:v>
      </x:c>
      <x:c r="H24" s="29" t="str">
        <x:v>Public professional profile; case interview required</x:v>
      </x:c>
      <x:c r="I24" s="29" t="str">
        <x:v>Practitioner interviewee; training contributor</x:v>
      </x:c>
      <x:c r="J24" s="29" t="str">
        <x:v>Institutional partner candidate</x:v>
      </x:c>
      <x:c r="K24" s="29" t="str">
        <x:v>Adapting protective-security practice to humanitarian operating constraints</x:v>
      </x:c>
      <x:c r="L24" s="29" t="str">
        <x:v>Duty of care and close protection in high-risk settings</x:v>
      </x:c>
      <x:c r="M24" s="29" t="str">
        <x:v>Public research completed; interview and consent required</x:v>
      </x:c>
      <x:c r="N24" s="29" t="str">
        <x:v>Not requested</x:v>
      </x:c>
      <x:c r="O24" s="29" t="str">
        <x:v>Human review and permission required before publication</x:v>
      </x:c>
      <x:c r="P24" s="29" t="str">
        <x:v>What changed most in protective-security practice in Ukraine after 2022?</x:v>
      </x:c>
      <x:c r="Q24" s="29" t="str">
        <x:v>https://uk.linkedin.com/in/lloyd-widdup-7abb2416a</x:v>
      </x:c>
    </x:row>
    <x:row r="25">
      <x:c r="A25" s="30" t="n">
        <x:v>21</x:v>
      </x:c>
      <x:c r="B25" s="29" t="str">
        <x:v>Lorenzo (surname unknown)</x:v>
      </x:c>
      <x:c r="C25" s="29" t="str">
        <x:v>—</x:v>
      </x:c>
      <x:c r="D25" s="29" t="str">
        <x:v>—</x:v>
      </x:c>
      <x:c r="E25" s="29" t="str">
        <x:v>To classify</x:v>
      </x:c>
      <x:c r="F25" s="29" t="str">
        <x:v>To assess</x:v>
      </x:c>
      <x:c r="G25" s="29" t="str">
        <x:v>Ukraine-related experience — assess</x:v>
      </x:c>
      <x:c r="H25" s="29" t="str">
        <x:v>Group entry only</x:v>
      </x:c>
      <x:c r="I25" s="29" t="str">
        <x:v>To assess</x:v>
      </x:c>
      <x:c r="J25" s="29" t="str">
        <x:v>Member / participant</x:v>
      </x:c>
      <x:c r="K25" s="29" t="str">
        <x:v>Professional experience from Ukraine — topic to be defined</x:v>
      </x:c>
      <x:c r="L25" s="29" t="str">
        <x:v>To assess</x:v>
      </x:c>
      <x:c r="M25" s="29" t="str">
        <x:v>Not researched</x:v>
      </x:c>
      <x:c r="N25" s="29" t="str">
        <x:v>Not requested</x:v>
      </x:c>
      <x:c r="O25" s="29" t="str">
        <x:v>Human review and permission required before publication</x:v>
      </x:c>
      <x:c r="P25" s="29" t="str">
        <x:v>What did this person or organisation learn in Ukraine after 2022; what worked, what failed, and what is transferable?</x:v>
      </x:c>
      <x:c r="Q25" s="29"/>
    </x:row>
    <x:row r="26">
      <x:c r="A26" s="30" t="n">
        <x:v>22</x:v>
      </x:c>
      <x:c r="B26" s="29" t="str">
        <x:v>Luke (surname unknown)</x:v>
      </x:c>
      <x:c r="C26" s="29" t="str">
        <x:v>Prevail Partners</x:v>
      </x:c>
      <x:c r="D26" s="29" t="str">
        <x:v>Security risk adviser and paramedic</x:v>
      </x:c>
      <x:c r="E26" s="29" t="str">
        <x:v>Security / risk / resilience</x:v>
      </x:c>
      <x:c r="F26" s="29" t="str">
        <x:v>Security, strategic risk and crisis management</x:v>
      </x:c>
      <x:c r="G26" s="29" t="str">
        <x:v>Security and risk operations in wartime — verify</x:v>
      </x:c>
      <x:c r="H26" s="29" t="str">
        <x:v>WhatsApp profile / group data only</x:v>
      </x:c>
      <x:c r="I26" s="29" t="str">
        <x:v>Speaker / interviewee / case-study contributor</x:v>
      </x:c>
      <x:c r="J26" s="29" t="str">
        <x:v>Institutional partner candidate</x:v>
      </x:c>
      <x:c r="K26" s="29" t="str">
        <x:v>What changed in security and risk management after 2022</x:v>
      </x:c>
      <x:c r="L26" s="29" t="str">
        <x:v>Potentially relevant internationally — verify through interview</x:v>
      </x:c>
      <x:c r="M26" s="29" t="str">
        <x:v>Role known; identity and experience require verification</x:v>
      </x:c>
      <x:c r="N26" s="29" t="str">
        <x:v>Not requested</x:v>
      </x:c>
      <x:c r="O26" s="29" t="str">
        <x:v>Human review and permission required before publication</x:v>
      </x:c>
      <x:c r="P26" s="29" t="str">
        <x:v>What did this person or organisation learn in Ukraine after 2022; what worked, what failed, and what is transferable?</x:v>
      </x:c>
      <x:c r="Q26" s="29"/>
    </x:row>
    <x:row r="27">
      <x:c r="A27" s="30" t="n">
        <x:v>23</x:v>
      </x:c>
      <x:c r="B27" s="29" t="str">
        <x:v>M (identity unresolved)</x:v>
      </x:c>
      <x:c r="C27" s="29" t="str">
        <x:v>—</x:v>
      </x:c>
      <x:c r="D27" s="29" t="str">
        <x:v>—</x:v>
      </x:c>
      <x:c r="E27" s="29" t="str">
        <x:v>To classify</x:v>
      </x:c>
      <x:c r="F27" s="29" t="str">
        <x:v>To assess</x:v>
      </x:c>
      <x:c r="G27" s="29" t="str">
        <x:v>Ukraine-related experience — assess</x:v>
      </x:c>
      <x:c r="H27" s="29" t="str">
        <x:v>Group entry only</x:v>
      </x:c>
      <x:c r="I27" s="29" t="str">
        <x:v>To assess</x:v>
      </x:c>
      <x:c r="J27" s="29" t="str">
        <x:v>Member / participant</x:v>
      </x:c>
      <x:c r="K27" s="29" t="str">
        <x:v>Professional experience from Ukraine — topic to be defined</x:v>
      </x:c>
      <x:c r="L27" s="29" t="str">
        <x:v>To assess</x:v>
      </x:c>
      <x:c r="M27" s="29" t="str">
        <x:v>Not researched</x:v>
      </x:c>
      <x:c r="N27" s="29" t="str">
        <x:v>Not requested</x:v>
      </x:c>
      <x:c r="O27" s="29" t="str">
        <x:v>Human review and permission required before publication</x:v>
      </x:c>
      <x:c r="P27" s="29" t="str">
        <x:v>What did this person or organisation learn in Ukraine after 2022; what worked, what failed, and what is transferable?</x:v>
      </x:c>
      <x:c r="Q27" s="29"/>
    </x:row>
    <x:row r="28">
      <x:c r="A28" s="30" t="n">
        <x:v>24</x:v>
      </x:c>
      <x:c r="B28" s="29" t="str">
        <x:v>Mykhailo (surname unknown)</x:v>
      </x:c>
      <x:c r="C28" s="29" t="str">
        <x:v>—</x:v>
      </x:c>
      <x:c r="D28" s="29" t="str">
        <x:v>—</x:v>
      </x:c>
      <x:c r="E28" s="29" t="str">
        <x:v>To classify</x:v>
      </x:c>
      <x:c r="F28" s="29" t="str">
        <x:v>To assess</x:v>
      </x:c>
      <x:c r="G28" s="29" t="str">
        <x:v>Ukraine-related experience — assess</x:v>
      </x:c>
      <x:c r="H28" s="29" t="str">
        <x:v>Group entry only</x:v>
      </x:c>
      <x:c r="I28" s="29" t="str">
        <x:v>To assess</x:v>
      </x:c>
      <x:c r="J28" s="29" t="str">
        <x:v>Member / participant</x:v>
      </x:c>
      <x:c r="K28" s="29" t="str">
        <x:v>Professional experience from Ukraine — topic to be defined</x:v>
      </x:c>
      <x:c r="L28" s="29" t="str">
        <x:v>To assess</x:v>
      </x:c>
      <x:c r="M28" s="29" t="str">
        <x:v>Not researched</x:v>
      </x:c>
      <x:c r="N28" s="29" t="str">
        <x:v>Not requested</x:v>
      </x:c>
      <x:c r="O28" s="29" t="str">
        <x:v>Human review and permission required before publication</x:v>
      </x:c>
      <x:c r="P28" s="29" t="str">
        <x:v>What did this person or organisation learn in Ukraine after 2022; what worked, what failed, and what is transferable?</x:v>
      </x:c>
      <x:c r="Q28" s="29"/>
    </x:row>
    <x:row r="29">
      <x:c r="A29" s="30" t="n">
        <x:v>25</x:v>
      </x:c>
      <x:c r="B29" s="29" t="str">
        <x:v>Maksym Chebotarov</x:v>
      </x:c>
      <x:c r="C29" s="29" t="str">
        <x:v>Transatlantic Dialogue Center / ISRM Ukraine</x:v>
      </x:c>
      <x:c r="D29" s="29" t="str">
        <x:v>Young Professionals and Mentoring; policy expert</x:v>
      </x:c>
      <x:c r="E29" s="29" t="str">
        <x:v>To classify</x:v>
      </x:c>
      <x:c r="F29" s="29" t="str">
        <x:v>Security policy, defence adaptation and transatlantic relations</x:v>
      </x:c>
      <x:c r="G29" s="29" t="str">
        <x:v>Public ISRM keynote addressed Ukrainian and Russian adaptation models, drones, long-range strikes, defence production and resilience.</x:v>
      </x:c>
      <x:c r="H29" s="29" t="str">
        <x:v>Documented public Ukraine case</x:v>
      </x:c>
      <x:c r="I29" s="29" t="str">
        <x:v>Speaker; analyst; young-professionals mentor</x:v>
      </x:c>
      <x:c r="J29" s="29" t="str">
        <x:v>Connector / community multiplier</x:v>
      </x:c>
      <x:c r="K29" s="29" t="str">
        <x:v>How military and institutional adaptation changes strategic risk</x:v>
      </x:c>
      <x:c r="L29" s="29" t="str">
        <x:v>Lessons on technology-driven war, defence production and alliance policy</x:v>
      </x:c>
      <x:c r="M29" s="29" t="str">
        <x:v>Public research completed; interview and consent required</x:v>
      </x:c>
      <x:c r="N29" s="29" t="str">
        <x:v>Not requested</x:v>
      </x:c>
      <x:c r="O29" s="29" t="str">
        <x:v>Human review and permission required before publication</x:v>
      </x:c>
      <x:c r="P29" s="29" t="str">
        <x:v>Which Ukrainian adaptations offer genuine international lessons, and which are context-specific?</x:v>
      </x:c>
      <x:c r="Q29" s="29" t="str">
        <x:v>https://tdcenter.org/2026/07/14/ukraine-strategic-risk-management-isrm-launch/</x:v>
      </x:c>
    </x:row>
    <x:row r="30">
      <x:c r="A30" s="30" t="n">
        <x:v>26</x:v>
      </x:c>
      <x:c r="B30" s="29" t="str">
        <x:v>MF (initials only)</x:v>
      </x:c>
      <x:c r="C30" s="29" t="str">
        <x:v>Prevail Partners</x:v>
      </x:c>
      <x:c r="D30" s="29" t="str">
        <x:v>Security Risk Adviser, Kyiv</x:v>
      </x:c>
      <x:c r="E30" s="29" t="str">
        <x:v>Security / risk / resilience</x:v>
      </x:c>
      <x:c r="F30" s="29" t="str">
        <x:v>Security, strategic risk and crisis management</x:v>
      </x:c>
      <x:c r="G30" s="29" t="str">
        <x:v>Security and risk operations in wartime — verify</x:v>
      </x:c>
      <x:c r="H30" s="29" t="str">
        <x:v>WhatsApp profile / group data only</x:v>
      </x:c>
      <x:c r="I30" s="29" t="str">
        <x:v>Speaker / interviewee / case-study contributor</x:v>
      </x:c>
      <x:c r="J30" s="29" t="str">
        <x:v>Institutional partner candidate</x:v>
      </x:c>
      <x:c r="K30" s="29" t="str">
        <x:v>What changed in security and risk management after 2022</x:v>
      </x:c>
      <x:c r="L30" s="29" t="str">
        <x:v>Potentially relevant internationally — verify through interview</x:v>
      </x:c>
      <x:c r="M30" s="29" t="str">
        <x:v>Role known; identity and experience require verification</x:v>
      </x:c>
      <x:c r="N30" s="29" t="str">
        <x:v>Not requested</x:v>
      </x:c>
      <x:c r="O30" s="29" t="str">
        <x:v>Human review and permission required before publication</x:v>
      </x:c>
      <x:c r="P30" s="29" t="str">
        <x:v>What did this person or organisation learn in Ukraine after 2022; what worked, what failed, and what is transferable?</x:v>
      </x:c>
      <x:c r="Q30" s="29"/>
    </x:row>
    <x:row r="31">
      <x:c r="A31" s="30" t="n">
        <x:v>27</x:v>
      </x:c>
      <x:c r="B31" s="29" t="str">
        <x:v>Michael (surname unknown)</x:v>
      </x:c>
      <x:c r="C31" s="29" t="str">
        <x:v>ISRM Ukraine (group admin)</x:v>
      </x:c>
      <x:c r="D31" s="29" t="str">
        <x:v>Administrator; exact role unknown</x:v>
      </x:c>
      <x:c r="E31" s="29" t="str">
        <x:v>To classify</x:v>
      </x:c>
      <x:c r="F31" s="29" t="str">
        <x:v>To assess</x:v>
      </x:c>
      <x:c r="G31" s="29" t="str">
        <x:v>Ukraine-related experience — assess</x:v>
      </x:c>
      <x:c r="H31" s="29" t="str">
        <x:v>Group entry only</x:v>
      </x:c>
      <x:c r="I31" s="29" t="str">
        <x:v>Chapter leadership / member mobilisation / editorial contributor</x:v>
      </x:c>
      <x:c r="J31" s="29" t="str">
        <x:v>Group administrator / community organiser</x:v>
      </x:c>
      <x:c r="K31" s="29" t="str">
        <x:v>Professional experience from Ukraine — topic to be defined</x:v>
      </x:c>
      <x:c r="L31" s="29" t="str">
        <x:v>To assess</x:v>
      </x:c>
      <x:c r="M31" s="29" t="str">
        <x:v>Role known; identity and experience require verification</x:v>
      </x:c>
      <x:c r="N31" s="29" t="str">
        <x:v>Not requested</x:v>
      </x:c>
      <x:c r="O31" s="29" t="str">
        <x:v>Human review and permission required before publication</x:v>
      </x:c>
      <x:c r="P31" s="29" t="str">
        <x:v>What did this person or organisation learn in Ukraine after 2022; what worked, what failed, and what is transferable?</x:v>
      </x:c>
      <x:c r="Q31" s="29"/>
    </x:row>
    <x:row r="32">
      <x:c r="A32" s="30" t="n">
        <x:v>28</x:v>
      </x:c>
      <x:c r="B32" s="29" t="str">
        <x:v>Michael “Mick” Stott</x:v>
      </x:c>
      <x:c r="C32" s="29" t="str">
        <x:v>—</x:v>
      </x:c>
      <x:c r="D32" s="29" t="str">
        <x:v>Professor h.c.; exact current affiliation unverified</x:v>
      </x:c>
      <x:c r="E32" s="29" t="str">
        <x:v>Academia / research</x:v>
      </x:c>
      <x:c r="F32" s="29" t="str">
        <x:v>Research, education and knowledge transfer</x:v>
      </x:c>
      <x:c r="G32" s="29" t="str">
        <x:v>Researching and teaching crisis experience — verify</x:v>
      </x:c>
      <x:c r="H32" s="29" t="str">
        <x:v>WhatsApp profile / group data only</x:v>
      </x:c>
      <x:c r="I32" s="29" t="str">
        <x:v>Author / researcher / academic reviewer</x:v>
      </x:c>
      <x:c r="J32" s="29" t="str">
        <x:v>Member / participant</x:v>
      </x:c>
      <x:c r="K32" s="29" t="str">
        <x:v>Turning operational experience into research and teaching</x:v>
      </x:c>
      <x:c r="L32" s="29" t="str">
        <x:v>Potentially relevant internationally — verify through interview</x:v>
      </x:c>
      <x:c r="M32" s="29" t="str">
        <x:v>Probable profile; match requires verification</x:v>
      </x:c>
      <x:c r="N32" s="29" t="str">
        <x:v>Not requested</x:v>
      </x:c>
      <x:c r="O32" s="29" t="str">
        <x:v>Human review and permission required before publication</x:v>
      </x:c>
      <x:c r="P32" s="29" t="str">
        <x:v>What did this person or organisation learn in Ukraine after 2022; what worked, what failed, and what is transferable?</x:v>
      </x:c>
      <x:c r="Q32" s="29"/>
    </x:row>
    <x:row r="33">
      <x:c r="A33" s="30" t="n">
        <x:v>29</x:v>
      </x:c>
      <x:c r="B33" s="29" t="str">
        <x:v>Oleksandr Miniailyk</x:v>
      </x:c>
      <x:c r="C33" s="29" t="str">
        <x:v>—</x:v>
      </x:c>
      <x:c r="D33" s="29" t="str">
        <x:v>—</x:v>
      </x:c>
      <x:c r="E33" s="29" t="str">
        <x:v>To classify</x:v>
      </x:c>
      <x:c r="F33" s="29" t="str">
        <x:v>To assess</x:v>
      </x:c>
      <x:c r="G33" s="29" t="str">
        <x:v>Ukraine-related experience — assess</x:v>
      </x:c>
      <x:c r="H33" s="29" t="str">
        <x:v>Group entry only</x:v>
      </x:c>
      <x:c r="I33" s="29" t="str">
        <x:v>To assess</x:v>
      </x:c>
      <x:c r="J33" s="29" t="str">
        <x:v>Member / participant</x:v>
      </x:c>
      <x:c r="K33" s="29" t="str">
        <x:v>Professional experience from Ukraine — topic to be defined</x:v>
      </x:c>
      <x:c r="L33" s="29" t="str">
        <x:v>To assess</x:v>
      </x:c>
      <x:c r="M33" s="29" t="str">
        <x:v>Identity stated; professional profile required</x:v>
      </x:c>
      <x:c r="N33" s="29" t="str">
        <x:v>Not requested</x:v>
      </x:c>
      <x:c r="O33" s="29" t="str">
        <x:v>Human review and permission required before publication</x:v>
      </x:c>
      <x:c r="P33" s="29" t="str">
        <x:v>What did this person or organisation learn in Ukraine after 2022; what worked, what failed, and what is transferable?</x:v>
      </x:c>
      <x:c r="Q33" s="29"/>
    </x:row>
    <x:row r="34">
      <x:c r="A34" s="30" t="n">
        <x:v>30</x:v>
      </x:c>
      <x:c r="B34" s="29" t="str">
        <x:v>Murat Bayraktar</x:v>
      </x:c>
      <x:c r="C34" s="29" t="str">
        <x:v>Istanbul Esenyurt University</x:v>
      </x:c>
      <x:c r="D34" s="29" t="str">
        <x:v>Assistant Professor</x:v>
      </x:c>
      <x:c r="E34" s="29" t="str">
        <x:v>Academia / research</x:v>
      </x:c>
      <x:c r="F34" s="29" t="str">
        <x:v>Political economy, energy and global economic effects of war</x:v>
      </x:c>
      <x:c r="G34" s="29" t="str">
        <x:v>Published analysis of the 2022 war’s effects on energy, commodities, sanctions, food security, supply chains and inflation.</x:v>
      </x:c>
      <x:c r="H34" s="29" t="str">
        <x:v>Documented public research</x:v>
      </x:c>
      <x:c r="I34" s="29" t="str">
        <x:v>Academic speaker; author; macro-risk contributor</x:v>
      </x:c>
      <x:c r="J34" s="29" t="str">
        <x:v>Member / participant</x:v>
      </x:c>
      <x:c r="K34" s="29" t="str">
        <x:v>How a regional war transmits risk through the global economy</x:v>
      </x:c>
      <x:c r="L34" s="29" t="str">
        <x:v>Energy, food and supply-chain stress testing</x:v>
      </x:c>
      <x:c r="M34" s="29" t="str">
        <x:v>Public research completed; interview and consent required</x:v>
      </x:c>
      <x:c r="N34" s="29" t="str">
        <x:v>Not requested</x:v>
      </x:c>
      <x:c r="O34" s="29" t="str">
        <x:v>Human review and permission required before publication</x:v>
      </x:c>
      <x:c r="P34" s="29" t="str">
        <x:v>Which global economic effects of the war were most underestimated?</x:v>
      </x:c>
      <x:c r="Q34" s="29" t="str">
        <x:v>https://papers.ssrn.com/sol3/papers.cfm?abstract_id=4045000</x:v>
      </x:c>
    </x:row>
    <x:row r="35">
      <x:c r="A35" s="30" t="n">
        <x:v>31</x:v>
      </x:c>
      <x:c r="B35" s="29" t="str">
        <x:v>Identity unresolved (Polish number)</x:v>
      </x:c>
      <x:c r="C35" s="29" t="str">
        <x:v>—</x:v>
      </x:c>
      <x:c r="D35" s="29" t="str">
        <x:v>—</x:v>
      </x:c>
      <x:c r="E35" s="29" t="str">
        <x:v>Business / advisory</x:v>
      </x:c>
      <x:c r="F35" s="29" t="str">
        <x:v>Leadership, advisory and business continuity</x:v>
      </x:c>
      <x:c r="G35" s="29" t="str">
        <x:v>Business continuity and leadership under disruption — verify</x:v>
      </x:c>
      <x:c r="H35" s="29" t="str">
        <x:v>WhatsApp profile / group data only</x:v>
      </x:c>
      <x:c r="I35" s="29" t="str">
        <x:v>To assess</x:v>
      </x:c>
      <x:c r="J35" s="29" t="str">
        <x:v>Member / participant</x:v>
      </x:c>
      <x:c r="K35" s="29" t="str">
        <x:v>How organisations continued operating during prolonged war</x:v>
      </x:c>
      <x:c r="L35" s="29" t="str">
        <x:v>Potentially relevant internationally — verify through interview</x:v>
      </x:c>
      <x:c r="M35" s="29" t="str">
        <x:v>Not researched</x:v>
      </x:c>
      <x:c r="N35" s="29" t="str">
        <x:v>Not requested</x:v>
      </x:c>
      <x:c r="O35" s="29" t="str">
        <x:v>Human review and permission required before publication</x:v>
      </x:c>
      <x:c r="P35" s="29" t="str">
        <x:v>What did this person or organisation learn in Ukraine after 2022; what worked, what failed, and what is transferable?</x:v>
      </x:c>
      <x:c r="Q35" s="29"/>
    </x:row>
    <x:row r="36">
      <x:c r="A36" s="30" t="n">
        <x:v>32</x:v>
      </x:c>
      <x:c r="B36" s="29" t="str">
        <x:v>Natalia (surname unknown)</x:v>
      </x:c>
      <x:c r="C36" s="29" t="str">
        <x:v>—</x:v>
      </x:c>
      <x:c r="D36" s="29" t="str">
        <x:v>—</x:v>
      </x:c>
      <x:c r="E36" s="29" t="str">
        <x:v>To classify</x:v>
      </x:c>
      <x:c r="F36" s="29" t="str">
        <x:v>To assess</x:v>
      </x:c>
      <x:c r="G36" s="29" t="str">
        <x:v>Ukraine-related experience — assess</x:v>
      </x:c>
      <x:c r="H36" s="29" t="str">
        <x:v>Group entry only</x:v>
      </x:c>
      <x:c r="I36" s="29" t="str">
        <x:v>To assess</x:v>
      </x:c>
      <x:c r="J36" s="29" t="str">
        <x:v>Member / participant</x:v>
      </x:c>
      <x:c r="K36" s="29" t="str">
        <x:v>Professional experience from Ukraine — topic to be defined</x:v>
      </x:c>
      <x:c r="L36" s="29" t="str">
        <x:v>To assess</x:v>
      </x:c>
      <x:c r="M36" s="29" t="str">
        <x:v>Not researched</x:v>
      </x:c>
      <x:c r="N36" s="29" t="str">
        <x:v>Not requested</x:v>
      </x:c>
      <x:c r="O36" s="29" t="str">
        <x:v>Human review and permission required before publication</x:v>
      </x:c>
      <x:c r="P36" s="29" t="str">
        <x:v>What did this person or organisation learn in Ukraine after 2022; what worked, what failed, and what is transferable?</x:v>
      </x:c>
      <x:c r="Q36" s="29"/>
    </x:row>
    <x:row r="37">
      <x:c r="A37" s="30" t="n">
        <x:v>33</x:v>
      </x:c>
      <x:c r="B37" s="29" t="str">
        <x:v>Natalia Burkina</x:v>
      </x:c>
      <x:c r="C37" s="29" t="str">
        <x:v>FHV Vorarlberg University of Applied Sciences / Donetsk National University</x:v>
      </x:c>
      <x:c r="D37" s="29" t="str">
        <x:v>Researcher and data scientist</x:v>
      </x:c>
      <x:c r="E37" s="29" t="str">
        <x:v>Academia / research</x:v>
      </x:c>
      <x:c r="F37" s="29" t="str">
        <x:v>Data science and robust decision-making under uncertainty</x:v>
      </x:c>
      <x:c r="G37" s="29" t="str">
        <x:v>Continued research after relocation through crisis support for Ukrainian scientists; works on decisions under uncertainty.</x:v>
      </x:c>
      <x:c r="H37" s="29" t="str">
        <x:v>Documented public Ukraine-related experience</x:v>
      </x:c>
      <x:c r="I37" s="29" t="str">
        <x:v>Research author; methods adviser; academic bridge</x:v>
      </x:c>
      <x:c r="J37" s="29" t="str">
        <x:v>Member / participant</x:v>
      </x:c>
      <x:c r="K37" s="29" t="str">
        <x:v>Scientific continuity and evidence-based decisions during displacement</x:v>
      </x:c>
      <x:c r="L37" s="29" t="str">
        <x:v>Research resilience, displaced talent and robust analytics</x:v>
      </x:c>
      <x:c r="M37" s="29" t="str">
        <x:v>Public research completed; interview and consent required</x:v>
      </x:c>
      <x:c r="N37" s="29" t="str">
        <x:v>Not requested</x:v>
      </x:c>
      <x:c r="O37" s="29" t="str">
        <x:v>Human review and permission required before publication</x:v>
      </x:c>
      <x:c r="P37" s="29" t="str">
        <x:v>What enabled useful research to continue despite displacement and uncertainty?</x:v>
      </x:c>
      <x:c r="Q37" s="29" t="str">
        <x:v>https://www.fhv.at/magazin/zahlen-die-geschichten-erzahlen-33655</x:v>
      </x:c>
    </x:row>
    <x:row r="38">
      <x:c r="A38" s="30" t="n">
        <x:v>34</x:v>
      </x:c>
      <x:c r="B38" s="29" t="str">
        <x:v>Nataliia (surname unknown)</x:v>
      </x:c>
      <x:c r="C38" s="29" t="str">
        <x:v>—</x:v>
      </x:c>
      <x:c r="D38" s="29" t="str">
        <x:v>—</x:v>
      </x:c>
      <x:c r="E38" s="29" t="str">
        <x:v>To classify</x:v>
      </x:c>
      <x:c r="F38" s="29" t="str">
        <x:v>To assess</x:v>
      </x:c>
      <x:c r="G38" s="29" t="str">
        <x:v>Ukraine-related experience — assess</x:v>
      </x:c>
      <x:c r="H38" s="29" t="str">
        <x:v>Group entry only</x:v>
      </x:c>
      <x:c r="I38" s="29" t="str">
        <x:v>To assess</x:v>
      </x:c>
      <x:c r="J38" s="29" t="str">
        <x:v>Member / participant</x:v>
      </x:c>
      <x:c r="K38" s="29" t="str">
        <x:v>Professional experience from Ukraine — topic to be defined</x:v>
      </x:c>
      <x:c r="L38" s="29" t="str">
        <x:v>To assess</x:v>
      </x:c>
      <x:c r="M38" s="29" t="str">
        <x:v>Not researched</x:v>
      </x:c>
      <x:c r="N38" s="29" t="str">
        <x:v>Not requested</x:v>
      </x:c>
      <x:c r="O38" s="29" t="str">
        <x:v>Human review and permission required before publication</x:v>
      </x:c>
      <x:c r="P38" s="29" t="str">
        <x:v>What did this person or organisation learn in Ukraine after 2022; what worked, what failed, and what is transferable?</x:v>
      </x:c>
      <x:c r="Q38" s="29"/>
    </x:row>
    <x:row r="39">
      <x:c r="A39" s="30" t="n">
        <x:v>35</x:v>
      </x:c>
      <x:c r="B39" s="29" t="str">
        <x:v>Nataliia (surname unknown)</x:v>
      </x:c>
      <x:c r="C39" s="29" t="str">
        <x:v>—</x:v>
      </x:c>
      <x:c r="D39" s="29" t="str">
        <x:v>—</x:v>
      </x:c>
      <x:c r="E39" s="29" t="str">
        <x:v>To classify</x:v>
      </x:c>
      <x:c r="F39" s="29" t="str">
        <x:v>To assess</x:v>
      </x:c>
      <x:c r="G39" s="29" t="str">
        <x:v>Ukraine-related experience — assess</x:v>
      </x:c>
      <x:c r="H39" s="29" t="str">
        <x:v>Group entry only</x:v>
      </x:c>
      <x:c r="I39" s="29" t="str">
        <x:v>To assess</x:v>
      </x:c>
      <x:c r="J39" s="29" t="str">
        <x:v>Member / participant</x:v>
      </x:c>
      <x:c r="K39" s="29" t="str">
        <x:v>Professional experience from Ukraine — topic to be defined</x:v>
      </x:c>
      <x:c r="L39" s="29" t="str">
        <x:v>To assess</x:v>
      </x:c>
      <x:c r="M39" s="29" t="str">
        <x:v>Not researched</x:v>
      </x:c>
      <x:c r="N39" s="29" t="str">
        <x:v>Not requested</x:v>
      </x:c>
      <x:c r="O39" s="29" t="str">
        <x:v>Human review and permission required before publication</x:v>
      </x:c>
      <x:c r="P39" s="29" t="str">
        <x:v>What did this person or organisation learn in Ukraine after 2022; what worked, what failed, and what is transferable?</x:v>
      </x:c>
      <x:c r="Q39" s="29"/>
    </x:row>
    <x:row r="40">
      <x:c r="A40" s="30" t="n">
        <x:v>36</x:v>
      </x:c>
      <x:c r="B40" s="29" t="str">
        <x:v>Nataliia Hrabska</x:v>
      </x:c>
      <x:c r="C40" s="29" t="str">
        <x:v>INSO / ISRM Ukraine</x:v>
      </x:c>
      <x:c r="D40" s="29" t="str">
        <x:v>Training Officer and Security Specialist; Women in Strategic Risk and Young Professionals</x:v>
      </x:c>
      <x:c r="E40" s="29" t="str">
        <x:v>Security / risk / resilience</x:v>
      </x:c>
      <x:c r="F40" s="29" t="str">
        <x:v>Humanitarian security training and responsible security practice</x:v>
      </x:c>
      <x:c r="G40" s="29" t="str">
        <x:v>Works in Ukraine’s humanitarian-security environment and participated in discussion on responsible private security and human rights. Public sources show a possible role conflict requiring confirmation.</x:v>
      </x:c>
      <x:c r="H40" s="29" t="str">
        <x:v>Documented public activity; current role requires confirmation</x:v>
      </x:c>
      <x:c r="I40" s="29" t="str">
        <x:v>Trainer; programme lead; case contributor</x:v>
      </x:c>
      <x:c r="J40" s="29" t="str">
        <x:v>Chapter team / community organiser</x:v>
      </x:c>
      <x:c r="K40" s="29" t="str">
        <x:v>Training and responsible security provision in a high-risk humanitarian setting</x:v>
      </x:c>
      <x:c r="L40" s="29" t="str">
        <x:v>Human-rights-aware security management and practitioner development</x:v>
      </x:c>
      <x:c r="M40" s="29" t="str">
        <x:v>Public research completed; interview and consent required</x:v>
      </x:c>
      <x:c r="N40" s="29" t="str">
        <x:v>Not requested</x:v>
      </x:c>
      <x:c r="O40" s="29" t="str">
        <x:v>Human review and permission required before publication</x:v>
      </x:c>
      <x:c r="P40" s="29" t="str">
        <x:v>Which training practices measurably improve behaviour and safety in Ukraine?</x:v>
      </x:c>
      <x:c r="Q40" s="29" t="str">
        <x:v>https://ca.linkedin.com/in/nataliia-hrabska-71396b252</x:v>
      </x:c>
    </x:row>
    <x:row r="41">
      <x:c r="A41" s="30" t="n">
        <x:v>37</x:v>
      </x:c>
      <x:c r="B41" s="29" t="str">
        <x:v>Nick Bennett</x:v>
      </x:c>
      <x:c r="C41" s="29" t="str">
        <x:v>Iqarus / International SOS</x:v>
      </x:c>
      <x:c r="D41" s="29" t="str">
        <x:v>Country Director</x:v>
      </x:c>
      <x:c r="E41" s="29" t="str">
        <x:v>Business / advisory</x:v>
      </x:c>
      <x:c r="F41" s="29" t="str">
        <x:v>Leadership, advisory and business continuity</x:v>
      </x:c>
      <x:c r="G41" s="29" t="str">
        <x:v>Business continuity and leadership under disruption — verify</x:v>
      </x:c>
      <x:c r="H41" s="29" t="str">
        <x:v>WhatsApp profile / group data only</x:v>
      </x:c>
      <x:c r="I41" s="29" t="str">
        <x:v>Speaker / interviewee / case-study contributor</x:v>
      </x:c>
      <x:c r="J41" s="29" t="str">
        <x:v>Member / participant</x:v>
      </x:c>
      <x:c r="K41" s="29" t="str">
        <x:v>How organisations continued operating during prolonged war</x:v>
      </x:c>
      <x:c r="L41" s="29" t="str">
        <x:v>Potentially relevant internationally — verify through interview</x:v>
      </x:c>
      <x:c r="M41" s="29" t="str">
        <x:v>Identity stated; professional profile required</x:v>
      </x:c>
      <x:c r="N41" s="29" t="str">
        <x:v>Not requested</x:v>
      </x:c>
      <x:c r="O41" s="29" t="str">
        <x:v>Human review and permission required before publication</x:v>
      </x:c>
      <x:c r="P41" s="29" t="str">
        <x:v>What did this person or organisation learn in Ukraine after 2022; what worked, what failed, and what is transferable?</x:v>
      </x:c>
      <x:c r="Q41" s="29"/>
    </x:row>
    <x:row r="42">
      <x:c r="A42" s="30" t="n">
        <x:v>38</x:v>
      </x:c>
      <x:c r="B42" s="29" t="str">
        <x:v>Niamh (surname unknown)</x:v>
      </x:c>
      <x:c r="C42" s="29" t="str">
        <x:v>—</x:v>
      </x:c>
      <x:c r="D42" s="29" t="str">
        <x:v>—</x:v>
      </x:c>
      <x:c r="E42" s="29" t="str">
        <x:v>To classify</x:v>
      </x:c>
      <x:c r="F42" s="29" t="str">
        <x:v>To assess</x:v>
      </x:c>
      <x:c r="G42" s="29" t="str">
        <x:v>Ukraine-related experience — assess</x:v>
      </x:c>
      <x:c r="H42" s="29" t="str">
        <x:v>Group entry only</x:v>
      </x:c>
      <x:c r="I42" s="29" t="str">
        <x:v>To assess</x:v>
      </x:c>
      <x:c r="J42" s="29" t="str">
        <x:v>Member / participant</x:v>
      </x:c>
      <x:c r="K42" s="29" t="str">
        <x:v>Professional experience from Ukraine — topic to be defined</x:v>
      </x:c>
      <x:c r="L42" s="29" t="str">
        <x:v>To assess</x:v>
      </x:c>
      <x:c r="M42" s="29" t="str">
        <x:v>Not researched</x:v>
      </x:c>
      <x:c r="N42" s="29" t="str">
        <x:v>Not requested</x:v>
      </x:c>
      <x:c r="O42" s="29" t="str">
        <x:v>Human review and permission required before publication</x:v>
      </x:c>
      <x:c r="P42" s="29" t="str">
        <x:v>What did this person or organisation learn in Ukraine after 2022; what worked, what failed, and what is transferable?</x:v>
      </x:c>
      <x:c r="Q42" s="29"/>
    </x:row>
    <x:row r="43">
      <x:c r="A43" s="30" t="n">
        <x:v>39</x:v>
      </x:c>
      <x:c r="B43" s="29" t="str">
        <x:v>Identity unresolved</x:v>
      </x:c>
      <x:c r="C43" s="29" t="str">
        <x:v>—</x:v>
      </x:c>
      <x:c r="D43" s="29" t="str">
        <x:v>—</x:v>
      </x:c>
      <x:c r="E43" s="29" t="str">
        <x:v>To classify</x:v>
      </x:c>
      <x:c r="F43" s="29" t="str">
        <x:v>To assess</x:v>
      </x:c>
      <x:c r="G43" s="29" t="str">
        <x:v>Ukraine-related experience — assess</x:v>
      </x:c>
      <x:c r="H43" s="29" t="str">
        <x:v>Group entry only</x:v>
      </x:c>
      <x:c r="I43" s="29" t="str">
        <x:v>To assess</x:v>
      </x:c>
      <x:c r="J43" s="29" t="str">
        <x:v>Member / participant</x:v>
      </x:c>
      <x:c r="K43" s="29" t="str">
        <x:v>Professional experience from Ukraine — topic to be defined</x:v>
      </x:c>
      <x:c r="L43" s="29" t="str">
        <x:v>To assess</x:v>
      </x:c>
      <x:c r="M43" s="29" t="str">
        <x:v>Not researched</x:v>
      </x:c>
      <x:c r="N43" s="29" t="str">
        <x:v>Not requested</x:v>
      </x:c>
      <x:c r="O43" s="29" t="str">
        <x:v>Human review and permission required before publication</x:v>
      </x:c>
      <x:c r="P43" s="29" t="str">
        <x:v>What did this person or organisation learn in Ukraine after 2022; what worked, what failed, and what is transferable?</x:v>
      </x:c>
      <x:c r="Q43" s="29"/>
    </x:row>
    <x:row r="44">
      <x:c r="A44" s="30" t="n">
        <x:v>40</x:v>
      </x:c>
      <x:c r="B44" s="29" t="str">
        <x:v>Oksana Leonova</x:v>
      </x:c>
      <x:c r="C44" s="29" t="str">
        <x:v>3xPC</x:v>
      </x:c>
      <x:c r="D44" s="29" t="str">
        <x:v>Operations Manager</x:v>
      </x:c>
      <x:c r="E44" s="29" t="str">
        <x:v>Business / advisory</x:v>
      </x:c>
      <x:c r="F44" s="29" t="str">
        <x:v>Leadership, advisory and business continuity</x:v>
      </x:c>
      <x:c r="G44" s="29" t="str">
        <x:v>Business continuity and leadership under disruption — verify</x:v>
      </x:c>
      <x:c r="H44" s="29" t="str">
        <x:v>Public source plus group data</x:v>
      </x:c>
      <x:c r="I44" s="29" t="str">
        <x:v>Speaker / interviewee / case-study contributor</x:v>
      </x:c>
      <x:c r="J44" s="29" t="str">
        <x:v>Institutional partner candidate</x:v>
      </x:c>
      <x:c r="K44" s="29" t="str">
        <x:v>How organisations continued operating during prolonged war</x:v>
      </x:c>
      <x:c r="L44" s="29" t="str">
        <x:v>Potentially relevant internationally — verify through interview</x:v>
      </x:c>
      <x:c r="M44" s="29" t="str">
        <x:v>Probable profile; match requires verification</x:v>
      </x:c>
      <x:c r="N44" s="29" t="str">
        <x:v>Not requested</x:v>
      </x:c>
      <x:c r="O44" s="29" t="str">
        <x:v>Human review and permission required before publication</x:v>
      </x:c>
      <x:c r="P44" s="29" t="str">
        <x:v>What did this person or organisation learn in Ukraine after 2022; what worked, what failed, and what is transferable?</x:v>
      </x:c>
      <x:c r="Q44" s="29" t="str">
        <x:v>https://ua.linkedin.com/pub/dir/%2B/Leonova/ua-0-Ukraine/</x:v>
      </x:c>
    </x:row>
    <x:row r="45">
      <x:c r="A45" s="30" t="n">
        <x:v>41</x:v>
      </x:c>
      <x:c r="B45" s="29" t="str">
        <x:v>Oleksandr Churkin</x:v>
      </x:c>
      <x:c r="C45" s="29" t="str">
        <x:v>IITC / UniTech Ukraine</x:v>
      </x:c>
      <x:c r="D45" s="29" t="str">
        <x:v>Founder and CEO / co-founder</x:v>
      </x:c>
      <x:c r="E45" s="29" t="str">
        <x:v>Business / advisory</x:v>
      </x:c>
      <x:c r="F45" s="29" t="str">
        <x:v>Industrial innovation, manufacturing efficiency and energy efficiency</x:v>
      </x:c>
      <x:c r="G45" s="29" t="str">
        <x:v>Leads initiatives focused on stronger, more efficient Ukrainian industry; a discrete wartime implementation case requires interview verification.</x:v>
      </x:c>
      <x:c r="H45" s="29" t="str">
        <x:v>Public organisational profile; case interview required</x:v>
      </x:c>
      <x:c r="I45" s="29" t="str">
        <x:v>Industry speaker; innovation partner; case contributor</x:v>
      </x:c>
      <x:c r="J45" s="29" t="str">
        <x:v>Member / participant</x:v>
      </x:c>
      <x:c r="K45" s="29" t="str">
        <x:v>Industrial capability as a foundation of national resilience</x:v>
      </x:c>
      <x:c r="L45" s="29" t="str">
        <x:v>Manufacturing productivity and energy efficiency in constrained economies</x:v>
      </x:c>
      <x:c r="M45" s="29" t="str">
        <x:v>Public research completed; interview and consent required</x:v>
      </x:c>
      <x:c r="N45" s="29" t="str">
        <x:v>Not requested</x:v>
      </x:c>
      <x:c r="O45" s="29" t="str">
        <x:v>Human review and permission required before publication</x:v>
      </x:c>
      <x:c r="P45" s="29" t="str">
        <x:v>Which industrial changes proved most important once Ukraine entered prolonged war?</x:v>
      </x:c>
      <x:c r="Q45" s="29" t="str">
        <x:v>https://www.iitc.org.ua/en/about-us/</x:v>
      </x:c>
    </x:row>
    <x:row r="46">
      <x:c r="A46" s="30" t="n">
        <x:v>42</x:v>
      </x:c>
      <x:c r="B46" s="29" t="str">
        <x:v>Olena Goroshko</x:v>
      </x:c>
      <x:c r="C46" s="29" t="str">
        <x:v>National Technical University Kharkiv Polytechnic Institute / ISRM Ukraine</x:v>
      </x:c>
      <x:c r="D46" s="29" t="str">
        <x:v>Professor; Partnerships liaison</x:v>
      </x:c>
      <x:c r="E46" s="29" t="str">
        <x:v>To classify</x:v>
      </x:c>
      <x:c r="F46" s="29" t="str">
        <x:v>Academic partnerships, communication and education</x:v>
      </x:c>
      <x:c r="G46" s="29" t="str">
        <x:v>Official chapter and academic roles confirmed; no specific public wartime case identified.</x:v>
      </x:c>
      <x:c r="H46" s="29" t="str">
        <x:v>Official chapter and public academic profile; case interview required</x:v>
      </x:c>
      <x:c r="I46" s="29" t="str">
        <x:v>Partnership lead; academic speaker; reviewer</x:v>
      </x:c>
      <x:c r="J46" s="29" t="str">
        <x:v>Chapter team / community organiser</x:v>
      </x:c>
      <x:c r="K46" s="29" t="str">
        <x:v>Academic continuity, partnership-building and communication during war</x:v>
      </x:c>
      <x:c r="L46" s="29" t="str">
        <x:v>University resilience and cross-sector knowledge exchange</x:v>
      </x:c>
      <x:c r="M46" s="29" t="str">
        <x:v>Public research completed; interview and consent required</x:v>
      </x:c>
      <x:c r="N46" s="29" t="str">
        <x:v>Not requested</x:v>
      </x:c>
      <x:c r="O46" s="29" t="str">
        <x:v>Human review and permission required before publication</x:v>
      </x:c>
      <x:c r="P46" s="29" t="str">
        <x:v>How did Kharkiv’s academic community preserve teaching, trust and international cooperation under attack?</x:v>
      </x:c>
      <x:c r="Q46" s="29" t="str">
        <x:v>https://www.theisrm.org/international-chapters/ukraine-chapter/</x:v>
      </x:c>
    </x:row>
    <x:row r="47">
      <x:c r="A47" s="30" t="n">
        <x:v>43</x:v>
      </x:c>
      <x:c r="B47" s="29" t="str">
        <x:v>Olena Puhach</x:v>
      </x:c>
      <x:c r="C47" s="29" t="str">
        <x:v>Nippon Koei</x:v>
      </x:c>
      <x:c r="D47" s="29" t="str">
        <x:v>Resident Business Development Manager</x:v>
      </x:c>
      <x:c r="E47" s="29" t="str">
        <x:v>Business / advisory</x:v>
      </x:c>
      <x:c r="F47" s="29" t="str">
        <x:v>Leadership, advisory and business continuity</x:v>
      </x:c>
      <x:c r="G47" s="29" t="str">
        <x:v>Business continuity and leadership under disruption — verify</x:v>
      </x:c>
      <x:c r="H47" s="29" t="str">
        <x:v>Public source plus group data</x:v>
      </x:c>
      <x:c r="I47" s="29" t="str">
        <x:v>Speaker / interviewee / case-study contributor</x:v>
      </x:c>
      <x:c r="J47" s="29" t="str">
        <x:v>Member / participant</x:v>
      </x:c>
      <x:c r="K47" s="29" t="str">
        <x:v>How organisations continued operating during prolonged war</x:v>
      </x:c>
      <x:c r="L47" s="29" t="str">
        <x:v>Potentially relevant internationally — verify through interview</x:v>
      </x:c>
      <x:c r="M47" s="29" t="str">
        <x:v>Probable profile; match requires verification</x:v>
      </x:c>
      <x:c r="N47" s="29" t="str">
        <x:v>Not requested</x:v>
      </x:c>
      <x:c r="O47" s="29" t="str">
        <x:v>Human review and permission required before publication</x:v>
      </x:c>
      <x:c r="P47" s="29" t="str">
        <x:v>What did this person or organisation learn in Ukraine after 2022; what worked, what failed, and what is transferable?</x:v>
      </x:c>
      <x:c r="Q47" s="29" t="str">
        <x:v>https://ua.linkedin.com/in/olena-puhach</x:v>
      </x:c>
    </x:row>
    <x:row r="48">
      <x:c r="A48" s="30" t="n">
        <x:v>44</x:v>
      </x:c>
      <x:c r="B48" s="29" t="str">
        <x:v>Olga Kasyan</x:v>
      </x:c>
      <x:c r="C48" s="29" t="str">
        <x:v>—</x:v>
      </x:c>
      <x:c r="D48" s="29" t="str">
        <x:v>—</x:v>
      </x:c>
      <x:c r="E48" s="29" t="str">
        <x:v>To classify</x:v>
      </x:c>
      <x:c r="F48" s="29" t="str">
        <x:v>To assess</x:v>
      </x:c>
      <x:c r="G48" s="29" t="str">
        <x:v>Ukraine-related experience — assess</x:v>
      </x:c>
      <x:c r="H48" s="29" t="str">
        <x:v>Group entry only</x:v>
      </x:c>
      <x:c r="I48" s="29" t="str">
        <x:v>To assess</x:v>
      </x:c>
      <x:c r="J48" s="29" t="str">
        <x:v>Member / participant</x:v>
      </x:c>
      <x:c r="K48" s="29" t="str">
        <x:v>Professional experience from Ukraine — topic to be defined</x:v>
      </x:c>
      <x:c r="L48" s="29" t="str">
        <x:v>To assess</x:v>
      </x:c>
      <x:c r="M48" s="29" t="str">
        <x:v>Identity stated; professional profile required</x:v>
      </x:c>
      <x:c r="N48" s="29" t="str">
        <x:v>Not requested</x:v>
      </x:c>
      <x:c r="O48" s="29" t="str">
        <x:v>Human review and permission required before publication</x:v>
      </x:c>
      <x:c r="P48" s="29" t="str">
        <x:v>What did this person or organisation learn in Ukraine after 2022; what worked, what failed, and what is transferable?</x:v>
      </x:c>
      <x:c r="Q48" s="29"/>
    </x:row>
    <x:row r="49">
      <x:c r="A49" s="30" t="n">
        <x:v>45</x:v>
      </x:c>
      <x:c r="B49" s="29" t="str">
        <x:v>Peter Ott</x:v>
      </x:c>
      <x:c r="C49" s="29" t="str">
        <x:v>ISRM Ukraine / humanitarian security sector</x:v>
      </x:c>
      <x:c r="D49" s="29" t="str">
        <x:v>Young Professionals and Mentoring Adviser</x:v>
      </x:c>
      <x:c r="E49" s="29" t="str">
        <x:v>Business / advisory</x:v>
      </x:c>
      <x:c r="F49" s="29" t="str">
        <x:v>Operations, crisis management, learning and humanitarian security</x:v>
      </x:c>
      <x:c r="G49" s="29" t="str">
        <x:v>Public profile indicates Ukraine-related humanitarian and security work; detailed case not publicly documented.</x:v>
      </x:c>
      <x:c r="H49" s="29" t="str">
        <x:v>Official chapter and public professional profile; case interview required</x:v>
      </x:c>
      <x:c r="I49" s="29" t="str">
        <x:v>Mentor; trainer; programme designer</x:v>
      </x:c>
      <x:c r="J49" s="29" t="str">
        <x:v>Group administrator / community organiser</x:v>
      </x:c>
      <x:c r="K49" s="29" t="str">
        <x:v>Mentoring the next generation of crisis and security professionals</x:v>
      </x:c>
      <x:c r="L49" s="29" t="str">
        <x:v>Professional development and operational learning in high-risk contexts</x:v>
      </x:c>
      <x:c r="M49" s="29" t="str">
        <x:v>Public research completed; interview and consent required</x:v>
      </x:c>
      <x:c r="N49" s="29" t="str">
        <x:v>Not requested</x:v>
      </x:c>
      <x:c r="O49" s="29" t="str">
        <x:v>Human review and permission required before publication</x:v>
      </x:c>
      <x:c r="P49" s="29" t="str">
        <x:v>What capabilities do young professionals need that conventional security training still misses?</x:v>
      </x:c>
      <x:c r="Q49" s="29" t="str">
        <x:v>https://www.theisrm.org/international-chapters/ukraine-chapter/</x:v>
      </x:c>
    </x:row>
    <x:row r="50">
      <x:c r="A50" s="30" t="n">
        <x:v>46</x:v>
      </x:c>
      <x:c r="B50" s="29" t="str">
        <x:v>Paul Radiy</x:v>
      </x:c>
      <x:c r="C50" s="29" t="str">
        <x:v>—</x:v>
      </x:c>
      <x:c r="D50" s="29" t="str">
        <x:v>—</x:v>
      </x:c>
      <x:c r="E50" s="29" t="str">
        <x:v>To classify</x:v>
      </x:c>
      <x:c r="F50" s="29" t="str">
        <x:v>To assess</x:v>
      </x:c>
      <x:c r="G50" s="29" t="str">
        <x:v>Ukraine-related experience — assess</x:v>
      </x:c>
      <x:c r="H50" s="29" t="str">
        <x:v>WhatsApp profile / group data only</x:v>
      </x:c>
      <x:c r="I50" s="29" t="str">
        <x:v>To assess</x:v>
      </x:c>
      <x:c r="J50" s="29" t="str">
        <x:v>Member / participant</x:v>
      </x:c>
      <x:c r="K50" s="29" t="str">
        <x:v>Professional experience from Ukraine — topic to be defined</x:v>
      </x:c>
      <x:c r="L50" s="29" t="str">
        <x:v>To assess</x:v>
      </x:c>
      <x:c r="M50" s="29" t="str">
        <x:v>Identity stated; professional profile required</x:v>
      </x:c>
      <x:c r="N50" s="29" t="str">
        <x:v>Not requested</x:v>
      </x:c>
      <x:c r="O50" s="29" t="str">
        <x:v>Human review and permission required before publication</x:v>
      </x:c>
      <x:c r="P50" s="29" t="str">
        <x:v>What did this person or organisation learn in Ukraine after 2022; what worked, what failed, and what is transferable?</x:v>
      </x:c>
      <x:c r="Q50" s="29"/>
    </x:row>
    <x:row r="51">
      <x:c r="A51" s="30" t="n">
        <x:v>47</x:v>
      </x:c>
      <x:c r="B51" s="29" t="str">
        <x:v>Peter (surname unknown)</x:v>
      </x:c>
      <x:c r="C51" s="29" t="str">
        <x:v>—</x:v>
      </x:c>
      <x:c r="D51" s="29" t="str">
        <x:v>—</x:v>
      </x:c>
      <x:c r="E51" s="29" t="str">
        <x:v>To classify</x:v>
      </x:c>
      <x:c r="F51" s="29" t="str">
        <x:v>To assess</x:v>
      </x:c>
      <x:c r="G51" s="29" t="str">
        <x:v>Ukraine-related experience — assess</x:v>
      </x:c>
      <x:c r="H51" s="29" t="str">
        <x:v>Group entry only</x:v>
      </x:c>
      <x:c r="I51" s="29" t="str">
        <x:v>To assess</x:v>
      </x:c>
      <x:c r="J51" s="29" t="str">
        <x:v>Member / participant</x:v>
      </x:c>
      <x:c r="K51" s="29" t="str">
        <x:v>Professional experience from Ukraine — topic to be defined</x:v>
      </x:c>
      <x:c r="L51" s="29" t="str">
        <x:v>To assess</x:v>
      </x:c>
      <x:c r="M51" s="29" t="str">
        <x:v>Not researched</x:v>
      </x:c>
      <x:c r="N51" s="29" t="str">
        <x:v>Not requested</x:v>
      </x:c>
      <x:c r="O51" s="29" t="str">
        <x:v>Human review and permission required before publication</x:v>
      </x:c>
      <x:c r="P51" s="29" t="str">
        <x:v>What did this person or organisation learn in Ukraine after 2022; what worked, what failed, and what is transferable?</x:v>
      </x:c>
      <x:c r="Q51" s="29"/>
    </x:row>
    <x:row r="52">
      <x:c r="A52" s="30" t="n">
        <x:v>48</x:v>
      </x:c>
      <x:c r="B52" s="29" t="str">
        <x:v>Petro Babyak</x:v>
      </x:c>
      <x:c r="C52" s="29" t="str">
        <x:v>Mercy Corps</x:v>
      </x:c>
      <x:c r="D52" s="29" t="str">
        <x:v>Security, Safety and Access Director</x:v>
      </x:c>
      <x:c r="E52" s="29" t="str">
        <x:v>Security / risk / resilience</x:v>
      </x:c>
      <x:c r="F52" s="29" t="str">
        <x:v>Humanitarian security, access and duty of care</x:v>
      </x:c>
      <x:c r="G52" s="29" t="str">
        <x:v>Senior humanitarian safety and security practitioner in Ukraine and contributor to sector research on evolving security-risk management.</x:v>
      </x:c>
      <x:c r="H52" s="29" t="str">
        <x:v>Documented public Ukraine role and sector research</x:v>
      </x:c>
      <x:c r="I52" s="29" t="str">
        <x:v>Senior practitioner speaker; author; standards contributor</x:v>
      </x:c>
      <x:c r="J52" s="29" t="str">
        <x:v>Member / participant</x:v>
      </x:c>
      <x:c r="K52" s="29" t="str">
        <x:v>Balancing access, acceptance and duty of care in a technologically changing war</x:v>
      </x:c>
      <x:c r="L52" s="29" t="str">
        <x:v>Humanitarian security governance in active conflict</x:v>
      </x:c>
      <x:c r="M52" s="29" t="str">
        <x:v>Public research completed; interview and consent required</x:v>
      </x:c>
      <x:c r="N52" s="29" t="str">
        <x:v>Not requested</x:v>
      </x:c>
      <x:c r="O52" s="29" t="str">
        <x:v>Human review and permission required before publication</x:v>
      </x:c>
      <x:c r="P52" s="29" t="str">
        <x:v>Which Ukraine practices should become standard across humanitarian security?</x:v>
      </x:c>
      <x:c r="Q52" s="29" t="str">
        <x:v>https://ua.linkedin.com/in/petro-babyak-srmp-c-75701427</x:v>
      </x:c>
    </x:row>
    <x:row r="53">
      <x:c r="A53" s="30" t="n">
        <x:v>49</x:v>
      </x:c>
      <x:c r="B53" s="29" t="str">
        <x:v>Yurii Bilousov</x:v>
      </x:c>
      <x:c r="C53" s="29" t="str">
        <x:v>Yuzkov University</x:v>
      </x:c>
      <x:c r="D53" s="29" t="str">
        <x:v>Academic / professor</x:v>
      </x:c>
      <x:c r="E53" s="29" t="str">
        <x:v>Academia / research</x:v>
      </x:c>
      <x:c r="F53" s="29" t="str">
        <x:v>Research, education and knowledge transfer</x:v>
      </x:c>
      <x:c r="G53" s="29" t="str">
        <x:v>Researching and teaching crisis experience — verify</x:v>
      </x:c>
      <x:c r="H53" s="29" t="str">
        <x:v>WhatsApp profile / group data only</x:v>
      </x:c>
      <x:c r="I53" s="29" t="str">
        <x:v>Author / researcher / academic reviewer</x:v>
      </x:c>
      <x:c r="J53" s="29" t="str">
        <x:v>Member / participant</x:v>
      </x:c>
      <x:c r="K53" s="29" t="str">
        <x:v>Turning operational experience into research and teaching</x:v>
      </x:c>
      <x:c r="L53" s="29" t="str">
        <x:v>Potentially relevant internationally — verify through interview</x:v>
      </x:c>
      <x:c r="M53" s="29" t="str">
        <x:v>Identity stated; professional profile required</x:v>
      </x:c>
      <x:c r="N53" s="29" t="str">
        <x:v>Not requested</x:v>
      </x:c>
      <x:c r="O53" s="29" t="str">
        <x:v>Human review and permission required before publication</x:v>
      </x:c>
      <x:c r="P53" s="29" t="str">
        <x:v>What did this person or organisation learn in Ukraine after 2022; what worked, what failed, and what is transferable?</x:v>
      </x:c>
      <x:c r="Q53" s="29"/>
    </x:row>
    <x:row r="54">
      <x:c r="A54" s="30" t="n">
        <x:v>50</x:v>
      </x:c>
      <x:c r="B54" s="29" t="str">
        <x:v>John Price</x:v>
      </x:c>
      <x:c r="C54" s="29" t="str">
        <x:v>ISRM Ukraine / humanitarian security sector</x:v>
      </x:c>
      <x:c r="D54" s="29" t="str">
        <x:v>Ukraine Chapter Advisory; security professional</x:v>
      </x:c>
      <x:c r="E54" s="29" t="str">
        <x:v>Security / risk / resilience</x:v>
      </x:c>
      <x:c r="F54" s="29" t="str">
        <x:v>Humanitarian safety and security coordination</x:v>
      </x:c>
      <x:c r="G54" s="29" t="str">
        <x:v>Public sector report identifies experience as Oxfam’s country safety and security coordinator in Ukraine; current employer should be confirmed.</x:v>
      </x:c>
      <x:c r="H54" s="29" t="str">
        <x:v>Documented past/public Ukraine role; current role requires confirmation</x:v>
      </x:c>
      <x:c r="I54" s="29" t="str">
        <x:v>Chapter adviser; speaker; interview contributor</x:v>
      </x:c>
      <x:c r="J54" s="29" t="str">
        <x:v>Group administrator / community organiser</x:v>
      </x:c>
      <x:c r="K54" s="29" t="str">
        <x:v>Country-level security coordination for humanitarian operations</x:v>
      </x:c>
      <x:c r="L54" s="29" t="str">
        <x:v>Duty of care, coordination and organisational security systems</x:v>
      </x:c>
      <x:c r="M54" s="29" t="str">
        <x:v>Public research completed; interview and consent required</x:v>
      </x:c>
      <x:c r="N54" s="29" t="str">
        <x:v>Not requested</x:v>
      </x:c>
      <x:c r="O54" s="29" t="str">
        <x:v>Human review and permission required before publication</x:v>
      </x:c>
      <x:c r="P54" s="29" t="str">
        <x:v>Where do international NGO security systems still fit Ukraine poorly?</x:v>
      </x:c>
      <x:c r="Q54" s="29" t="str">
        <x:v>https://www.theisrm.org/international-chapters/ukraine-chapter/</x:v>
      </x:c>
    </x:row>
    <x:row r="55">
      <x:c r="A55" s="30" t="n">
        <x:v>51</x:v>
      </x:c>
      <x:c r="B55" s="29" t="str">
        <x:v>Ran Drori</x:v>
      </x:c>
      <x:c r="C55" s="29" t="str">
        <x:v>—</x:v>
      </x:c>
      <x:c r="D55" s="29" t="str">
        <x:v>—</x:v>
      </x:c>
      <x:c r="E55" s="29" t="str">
        <x:v>To classify</x:v>
      </x:c>
      <x:c r="F55" s="29" t="str">
        <x:v>To assess</x:v>
      </x:c>
      <x:c r="G55" s="29" t="str">
        <x:v>Ukraine-related experience — assess</x:v>
      </x:c>
      <x:c r="H55" s="29" t="str">
        <x:v>Group entry only</x:v>
      </x:c>
      <x:c r="I55" s="29" t="str">
        <x:v>To assess</x:v>
      </x:c>
      <x:c r="J55" s="29" t="str">
        <x:v>Member / participant</x:v>
      </x:c>
      <x:c r="K55" s="29" t="str">
        <x:v>Professional experience from Ukraine — topic to be defined</x:v>
      </x:c>
      <x:c r="L55" s="29" t="str">
        <x:v>To assess</x:v>
      </x:c>
      <x:c r="M55" s="29" t="str">
        <x:v>Identity stated; professional profile required</x:v>
      </x:c>
      <x:c r="N55" s="29" t="str">
        <x:v>Not requested</x:v>
      </x:c>
      <x:c r="O55" s="29" t="str">
        <x:v>Human review and permission required before publication</x:v>
      </x:c>
      <x:c r="P55" s="29" t="str">
        <x:v>What did this person or organisation learn in Ukraine after 2022; what worked, what failed, and what is transferable?</x:v>
      </x:c>
      <x:c r="Q55" s="29"/>
    </x:row>
    <x:row r="56">
      <x:c r="A56" s="30" t="n">
        <x:v>52</x:v>
      </x:c>
      <x:c r="B56" s="29" t="str">
        <x:v>Revaz Tchirakadze</x:v>
      </x:c>
      <x:c r="C56" s="29" t="str">
        <x:v>OSCE Support Programme for Ukraine</x:v>
      </x:c>
      <x:c r="D56" s="29" t="str">
        <x:v>Security Officer</x:v>
      </x:c>
      <x:c r="E56" s="29" t="str">
        <x:v>Security / risk / resilience</x:v>
      </x:c>
      <x:c r="F56" s="29" t="str">
        <x:v>Organisational security, crisis readiness and high-risk staff preparation</x:v>
      </x:c>
      <x:c r="G56" s="29" t="str">
        <x:v>Supports OSCE operations in Ukraine and crisis-readiness measures informed by experience from the former Special Monitoring Mission.</x:v>
      </x:c>
      <x:c r="H56" s="29" t="str">
        <x:v>Documented public Ukraine case</x:v>
      </x:c>
      <x:c r="I56" s="29" t="str">
        <x:v>Practitioner speaker; training contributor; institutional bridge</x:v>
      </x:c>
      <x:c r="J56" s="29" t="str">
        <x:v>Connector / community multiplier</x:v>
      </x:c>
      <x:c r="K56" s="29" t="str">
        <x:v>Preparing international personnel for hybrid and high-risk threats</x:v>
      </x:c>
      <x:c r="L56" s="29" t="str">
        <x:v>HEAT, organisational readiness and field-security systems</x:v>
      </x:c>
      <x:c r="M56" s="29" t="str">
        <x:v>Public research completed; interview and consent required</x:v>
      </x:c>
      <x:c r="N56" s="29" t="str">
        <x:v>Not requested</x:v>
      </x:c>
      <x:c r="O56" s="29" t="str">
        <x:v>Human review and permission required before publication</x:v>
      </x:c>
      <x:c r="P56" s="29" t="str">
        <x:v>Which lessons from the SMM most changed current OSCE crisis-readiness practice?</x:v>
      </x:c>
      <x:c r="Q56" s="29" t="str">
        <x:v>https://www.osce.org/node/662803</x:v>
      </x:c>
    </x:row>
    <x:row r="57">
      <x:c r="A57" s="30" t="n">
        <x:v>53</x:v>
      </x:c>
      <x:c r="B57" s="29" t="str">
        <x:v>Robin Seaword</x:v>
      </x:c>
      <x:c r="C57" s="29" t="str">
        <x:v>SSR Consulting</x:v>
      </x:c>
      <x:c r="D57" s="29" t="str">
        <x:v>Security Sector Reform consultant</x:v>
      </x:c>
      <x:c r="E57" s="29" t="str">
        <x:v>Security / risk / resilience</x:v>
      </x:c>
      <x:c r="F57" s="29" t="str">
        <x:v>Security-sector reform, defence advice and institutional governance</x:v>
      </x:c>
      <x:c r="G57" s="29" t="str">
        <x:v>Former UK defence adviser/deputy adviser in Ukraine; no specific post-2022 public case identified.</x:v>
      </x:c>
      <x:c r="H57" s="29" t="str">
        <x:v>Documented Ukraine advisory experience; case interview required</x:v>
      </x:c>
      <x:c r="I57" s="29" t="str">
        <x:v>Governance speaker; senior adviser; case reviewer</x:v>
      </x:c>
      <x:c r="J57" s="29" t="str">
        <x:v>Institutional partner candidate</x:v>
      </x:c>
      <x:c r="K57" s="29" t="str">
        <x:v>Building accountable security institutions before and during crisis</x:v>
      </x:c>
      <x:c r="L57" s="29" t="str">
        <x:v>Security-sector governance and international advisory missions</x:v>
      </x:c>
      <x:c r="M57" s="29" t="str">
        <x:v>Public research completed; interview and consent required</x:v>
      </x:c>
      <x:c r="N57" s="29" t="str">
        <x:v>Not requested</x:v>
      </x:c>
      <x:c r="O57" s="29" t="str">
        <x:v>Human review and permission required before publication</x:v>
      </x:c>
      <x:c r="P57" s="29" t="str">
        <x:v>Which pre-2022 reform efforts created real wartime resilience, and which did not?</x:v>
      </x:c>
      <x:c r="Q57" s="29" t="str">
        <x:v>https://uk.linkedin.com/in/robinseaword</x:v>
      </x:c>
    </x:row>
    <x:row r="58">
      <x:c r="A58" s="30" t="n">
        <x:v>54</x:v>
      </x:c>
      <x:c r="B58" s="29" t="str">
        <x:v>Roman (surname unknown)</x:v>
      </x:c>
      <x:c r="C58" s="29" t="str">
        <x:v>—</x:v>
      </x:c>
      <x:c r="D58" s="29" t="str">
        <x:v>—</x:v>
      </x:c>
      <x:c r="E58" s="29" t="str">
        <x:v>To classify</x:v>
      </x:c>
      <x:c r="F58" s="29" t="str">
        <x:v>To assess</x:v>
      </x:c>
      <x:c r="G58" s="29" t="str">
        <x:v>Ukraine-related experience — assess</x:v>
      </x:c>
      <x:c r="H58" s="29" t="str">
        <x:v>Group entry only</x:v>
      </x:c>
      <x:c r="I58" s="29" t="str">
        <x:v>To assess</x:v>
      </x:c>
      <x:c r="J58" s="29" t="str">
        <x:v>Member / participant</x:v>
      </x:c>
      <x:c r="K58" s="29" t="str">
        <x:v>Professional experience from Ukraine — topic to be defined</x:v>
      </x:c>
      <x:c r="L58" s="29" t="str">
        <x:v>To assess</x:v>
      </x:c>
      <x:c r="M58" s="29" t="str">
        <x:v>Not researched</x:v>
      </x:c>
      <x:c r="N58" s="29" t="str">
        <x:v>Not requested</x:v>
      </x:c>
      <x:c r="O58" s="29" t="str">
        <x:v>Human review and permission required before publication</x:v>
      </x:c>
      <x:c r="P58" s="29" t="str">
        <x:v>What did this person or organisation learn in Ukraine after 2022; what worked, what failed, and what is transferable?</x:v>
      </x:c>
      <x:c r="Q58" s="29"/>
    </x:row>
    <x:row r="59">
      <x:c r="A59" s="30" t="n">
        <x:v>55</x:v>
      </x:c>
      <x:c r="B59" s="29" t="str">
        <x:v>Roman Cioma</x:v>
      </x:c>
      <x:c r="C59" s="29" t="str">
        <x:v>UN Women Ukraine</x:v>
      </x:c>
      <x:c r="D59" s="29" t="str">
        <x:v>Security Specialist</x:v>
      </x:c>
      <x:c r="E59" s="29" t="str">
        <x:v>Humanitarian / NGO</x:v>
      </x:c>
      <x:c r="F59" s="29" t="str">
        <x:v>UN and humanitarian security management</x:v>
      </x:c>
      <x:c r="G59" s="29" t="str">
        <x:v>Current public profile confirms a UN Women security role in Ukraine; no detailed public operational case found.</x:v>
      </x:c>
      <x:c r="H59" s="29" t="str">
        <x:v>Public professional profile; case interview required</x:v>
      </x:c>
      <x:c r="I59" s="29" t="str">
        <x:v>Practitioner interviewee; gender-and-security contributor</x:v>
      </x:c>
      <x:c r="J59" s="29" t="str">
        <x:v>Connector / community multiplier</x:v>
      </x:c>
      <x:c r="K59" s="29" t="str">
        <x:v>Security systems for inclusive humanitarian and development programming</x:v>
      </x:c>
      <x:c r="L59" s="29" t="str">
        <x:v>UN duty of care and programme-security integration</x:v>
      </x:c>
      <x:c r="M59" s="29" t="str">
        <x:v>Public research completed; interview and consent required</x:v>
      </x:c>
      <x:c r="N59" s="29" t="str">
        <x:v>Not requested</x:v>
      </x:c>
      <x:c r="O59" s="29" t="str">
        <x:v>Human review and permission required before publication</x:v>
      </x:c>
      <x:c r="P59" s="29" t="str">
        <x:v>How does programme design change when security risks affect groups differently?</x:v>
      </x:c>
      <x:c r="Q59" s="29" t="str">
        <x:v>https://uk.linkedin.com/in/roman-cioma-2616199</x:v>
      </x:c>
    </x:row>
    <x:row r="60">
      <x:c r="A60" s="30" t="n">
        <x:v>56</x:v>
      </x:c>
      <x:c r="B60" s="29" t="str">
        <x:v>Roman Guz</x:v>
      </x:c>
      <x:c r="C60" s="29" t="str">
        <x:v>Hilton Kyiv</x:v>
      </x:c>
      <x:c r="D60" s="29" t="str">
        <x:v>Chief Security</x:v>
      </x:c>
      <x:c r="E60" s="29" t="str">
        <x:v>Security / risk / resilience</x:v>
      </x:c>
      <x:c r="F60" s="29" t="str">
        <x:v>Security, strategic risk and crisis management</x:v>
      </x:c>
      <x:c r="G60" s="29" t="str">
        <x:v>Security and risk operations in wartime — verify</x:v>
      </x:c>
      <x:c r="H60" s="29" t="str">
        <x:v>WhatsApp profile / group data only</x:v>
      </x:c>
      <x:c r="I60" s="29" t="str">
        <x:v>Speaker / interviewee / case-study contributor</x:v>
      </x:c>
      <x:c r="J60" s="29" t="str">
        <x:v>Member / participant</x:v>
      </x:c>
      <x:c r="K60" s="29" t="str">
        <x:v>What changed in security and risk management after 2022</x:v>
      </x:c>
      <x:c r="L60" s="29" t="str">
        <x:v>Potentially relevant internationally — verify through interview</x:v>
      </x:c>
      <x:c r="M60" s="29" t="str">
        <x:v>Identity stated; professional profile required</x:v>
      </x:c>
      <x:c r="N60" s="29" t="str">
        <x:v>Not requested</x:v>
      </x:c>
      <x:c r="O60" s="29" t="str">
        <x:v>Human review and permission required before publication</x:v>
      </x:c>
      <x:c r="P60" s="29" t="str">
        <x:v>What did this person or organisation learn in Ukraine after 2022; what worked, what failed, and what is transferable?</x:v>
      </x:c>
      <x:c r="Q60" s="29"/>
    </x:row>
    <x:row r="61">
      <x:c r="A61" s="30" t="n">
        <x:v>57</x:v>
      </x:c>
      <x:c r="B61" s="29" t="str">
        <x:v>Rudy Vandaele-Kennedy</x:v>
      </x:c>
      <x:c r="C61" s="29" t="str">
        <x:v>Cadro</x:v>
      </x:c>
      <x:c r="D61" s="29" t="str">
        <x:v>Senior Client Adviser</x:v>
      </x:c>
      <x:c r="E61" s="29" t="str">
        <x:v>Business / advisory</x:v>
      </x:c>
      <x:c r="F61" s="29" t="str">
        <x:v>Strategic advisory, geopolitical risk and leadership in conflict environments</x:v>
      </x:c>
      <x:c r="G61" s="29" t="str">
        <x:v>No direct public Ukraine field case identified; has comparative experience including senior policy work in Iraq during war.</x:v>
      </x:c>
      <x:c r="H61" s="29" t="str">
        <x:v>Documented comparative conflict experience; Ukraine case not established</x:v>
      </x:c>
      <x:c r="I61" s="29" t="str">
        <x:v>Comparative-case speaker; senior mentor</x:v>
      </x:c>
      <x:c r="J61" s="29" t="str">
        <x:v>Member / participant</x:v>
      </x:c>
      <x:c r="K61" s="29" t="str">
        <x:v>Comparative leadership and policy-making in conflict environments</x:v>
      </x:c>
      <x:c r="L61" s="29" t="str">
        <x:v>Geopolitical risk and senior decision-making under instability</x:v>
      </x:c>
      <x:c r="M61" s="29" t="str">
        <x:v>Public research completed; interview and consent required</x:v>
      </x:c>
      <x:c r="N61" s="29" t="str">
        <x:v>Not requested</x:v>
      </x:c>
      <x:c r="O61" s="29" t="str">
        <x:v>Human review and permission required before publication</x:v>
      </x:c>
      <x:c r="P61" s="29" t="str">
        <x:v>Which lessons from Iraq are useful for Ukraine, and where does the comparison fail?</x:v>
      </x:c>
      <x:c r="Q61" s="29" t="str">
        <x:v>https://www.linkedin.com/posts/cadrotech_a-very-warm-welcome-to-cadros-newest-senior-activity-7445474569886253056-R8JN</x:v>
      </x:c>
    </x:row>
    <x:row r="62">
      <x:c r="A62" s="30" t="n">
        <x:v>58</x:v>
      </x:c>
      <x:c r="B62" s="29" t="str">
        <x:v>Rusudan Makhachashvili</x:v>
      </x:c>
      <x:c r="C62" s="29" t="str">
        <x:v>Borys Grinchenko Kyiv Metropolitan University / ISRM Ukraine</x:v>
      </x:c>
      <x:c r="D62" s="29" t="str">
        <x:v>Professor; Academic Liaison</x:v>
      </x:c>
      <x:c r="E62" s="29" t="str">
        <x:v>Academia / research</x:v>
      </x:c>
      <x:c r="F62" s="29" t="str">
        <x:v>Digital education, AI, linguistics and knowledge resilience</x:v>
      </x:c>
      <x:c r="G62" s="29" t="str">
        <x:v>Public work covers AI and digital education, resilience, e-governance and a Glossary of War; contributed to ISRM cross-sector resilience discussion.</x:v>
      </x:c>
      <x:c r="H62" s="29" t="str">
        <x:v>Documented public Ukraine research and activity</x:v>
      </x:c>
      <x:c r="I62" s="29" t="str">
        <x:v>Academic lead; author; conference speaker</x:v>
      </x:c>
      <x:c r="J62" s="29" t="str">
        <x:v>Group administrator / community organiser</x:v>
      </x:c>
      <x:c r="K62" s="29" t="str">
        <x:v>How language, AI and digital education preserve knowledge during war</x:v>
      </x:c>
      <x:c r="L62" s="29" t="str">
        <x:v>Education continuity, information resilience and responsible AI</x:v>
      </x:c>
      <x:c r="M62" s="29" t="str">
        <x:v>Public research completed; interview and consent required</x:v>
      </x:c>
      <x:c r="N62" s="29" t="str">
        <x:v>Not requested</x:v>
      </x:c>
      <x:c r="O62" s="29" t="str">
        <x:v>Human review and permission required before publication</x:v>
      </x:c>
      <x:c r="P62" s="29" t="str">
        <x:v>Which digital adaptations in Ukrainian education should be retained after the war?</x:v>
      </x:c>
      <x:c r="Q62" s="29" t="str">
        <x:v>https://www.researchgate.net/profile/Rusudan-Makhachashvili</x:v>
      </x:c>
    </x:row>
    <x:row r="63">
      <x:c r="A63" s="30" t="n">
        <x:v>59</x:v>
      </x:c>
      <x:c r="B63" s="29" t="str">
        <x:v>S. Murphy</x:v>
      </x:c>
      <x:c r="C63" s="29" t="str">
        <x:v>OSCE Support Programme for Ukraine</x:v>
      </x:c>
      <x:c r="D63" s="29" t="str">
        <x:v>Senior Security Officer</x:v>
      </x:c>
      <x:c r="E63" s="29" t="str">
        <x:v>Security / risk / resilience</x:v>
      </x:c>
      <x:c r="F63" s="29" t="str">
        <x:v>Security, strategic risk and crisis management</x:v>
      </x:c>
      <x:c r="G63" s="29" t="str">
        <x:v>Security and risk operations in wartime — verify</x:v>
      </x:c>
      <x:c r="H63" s="29" t="str">
        <x:v>WhatsApp profile / group data only</x:v>
      </x:c>
      <x:c r="I63" s="29" t="str">
        <x:v>Speaker / interviewee / case-study contributor</x:v>
      </x:c>
      <x:c r="J63" s="29" t="str">
        <x:v>Connector / community multiplier</x:v>
      </x:c>
      <x:c r="K63" s="29" t="str">
        <x:v>What changed in security and risk management after 2022</x:v>
      </x:c>
      <x:c r="L63" s="29" t="str">
        <x:v>Potentially relevant internationally — verify through interview</x:v>
      </x:c>
      <x:c r="M63" s="29" t="str">
        <x:v>Identity stated; professional profile required</x:v>
      </x:c>
      <x:c r="N63" s="29" t="str">
        <x:v>Not requested</x:v>
      </x:c>
      <x:c r="O63" s="29" t="str">
        <x:v>Human review and permission required before publication</x:v>
      </x:c>
      <x:c r="P63" s="29" t="str">
        <x:v>What did this person or organisation learn in Ukraine after 2022; what worked, what failed, and what is transferable?</x:v>
      </x:c>
      <x:c r="Q63" s="29"/>
    </x:row>
    <x:row r="64">
      <x:c r="A64" s="30" t="n">
        <x:v>60</x:v>
      </x:c>
      <x:c r="B64" s="29" t="str">
        <x:v>Sarah Parsons</x:v>
      </x:c>
      <x:c r="C64" s="29" t="str">
        <x:v>—</x:v>
      </x:c>
      <x:c r="D64" s="29" t="str">
        <x:v>—</x:v>
      </x:c>
      <x:c r="E64" s="29" t="str">
        <x:v>To classify</x:v>
      </x:c>
      <x:c r="F64" s="29" t="str">
        <x:v>To assess</x:v>
      </x:c>
      <x:c r="G64" s="29" t="str">
        <x:v>Ukraine-related experience — assess</x:v>
      </x:c>
      <x:c r="H64" s="29" t="str">
        <x:v>Group entry only</x:v>
      </x:c>
      <x:c r="I64" s="29" t="str">
        <x:v>To assess</x:v>
      </x:c>
      <x:c r="J64" s="29" t="str">
        <x:v>Member / participant</x:v>
      </x:c>
      <x:c r="K64" s="29" t="str">
        <x:v>Professional experience from Ukraine — topic to be defined</x:v>
      </x:c>
      <x:c r="L64" s="29" t="str">
        <x:v>To assess</x:v>
      </x:c>
      <x:c r="M64" s="29" t="str">
        <x:v>Identity stated; professional profile required</x:v>
      </x:c>
      <x:c r="N64" s="29" t="str">
        <x:v>Not requested</x:v>
      </x:c>
      <x:c r="O64" s="29" t="str">
        <x:v>Human review and permission required before publication</x:v>
      </x:c>
      <x:c r="P64" s="29" t="str">
        <x:v>What did this person or organisation learn in Ukraine after 2022; what worked, what failed, and what is transferable?</x:v>
      </x:c>
      <x:c r="Q64" s="29"/>
    </x:row>
    <x:row r="65">
      <x:c r="A65" s="30" t="n">
        <x:v>61</x:v>
      </x:c>
      <x:c r="B65" s="29" t="str">
        <x:v>Sasha Shapkina</x:v>
      </x:c>
      <x:c r="C65" s="29" t="str">
        <x:v>—</x:v>
      </x:c>
      <x:c r="D65" s="29" t="str">
        <x:v>—</x:v>
      </x:c>
      <x:c r="E65" s="29" t="str">
        <x:v>To classify</x:v>
      </x:c>
      <x:c r="F65" s="29" t="str">
        <x:v>To assess</x:v>
      </x:c>
      <x:c r="G65" s="29" t="str">
        <x:v>Ukraine-related experience — assess</x:v>
      </x:c>
      <x:c r="H65" s="29" t="str">
        <x:v>Group entry only</x:v>
      </x:c>
      <x:c r="I65" s="29" t="str">
        <x:v>To assess</x:v>
      </x:c>
      <x:c r="J65" s="29" t="str">
        <x:v>Member / participant</x:v>
      </x:c>
      <x:c r="K65" s="29" t="str">
        <x:v>Professional experience from Ukraine — topic to be defined</x:v>
      </x:c>
      <x:c r="L65" s="29" t="str">
        <x:v>To assess</x:v>
      </x:c>
      <x:c r="M65" s="29" t="str">
        <x:v>Identity stated; professional profile required</x:v>
      </x:c>
      <x:c r="N65" s="29" t="str">
        <x:v>Not requested</x:v>
      </x:c>
      <x:c r="O65" s="29" t="str">
        <x:v>Human review and permission required before publication</x:v>
      </x:c>
      <x:c r="P65" s="29" t="str">
        <x:v>What did this person or organisation learn in Ukraine after 2022; what worked, what failed, and what is transferable?</x:v>
      </x:c>
      <x:c r="Q65" s="29"/>
    </x:row>
    <x:row r="66">
      <x:c r="A66" s="30" t="n">
        <x:v>62</x:v>
      </x:c>
      <x:c r="B66" s="29" t="str">
        <x:v>Sergey (surname unknown)</x:v>
      </x:c>
      <x:c r="C66" s="29" t="str">
        <x:v>—</x:v>
      </x:c>
      <x:c r="D66" s="29" t="str">
        <x:v>—</x:v>
      </x:c>
      <x:c r="E66" s="29" t="str">
        <x:v>To classify</x:v>
      </x:c>
      <x:c r="F66" s="29" t="str">
        <x:v>To assess</x:v>
      </x:c>
      <x:c r="G66" s="29" t="str">
        <x:v>Ukraine-related experience — assess</x:v>
      </x:c>
      <x:c r="H66" s="29" t="str">
        <x:v>Group entry only</x:v>
      </x:c>
      <x:c r="I66" s="29" t="str">
        <x:v>To assess</x:v>
      </x:c>
      <x:c r="J66" s="29" t="str">
        <x:v>Member / participant</x:v>
      </x:c>
      <x:c r="K66" s="29" t="str">
        <x:v>Professional experience from Ukraine — topic to be defined</x:v>
      </x:c>
      <x:c r="L66" s="29" t="str">
        <x:v>To assess</x:v>
      </x:c>
      <x:c r="M66" s="29" t="str">
        <x:v>Not researched</x:v>
      </x:c>
      <x:c r="N66" s="29" t="str">
        <x:v>Not requested</x:v>
      </x:c>
      <x:c r="O66" s="29" t="str">
        <x:v>Human review and permission required before publication</x:v>
      </x:c>
      <x:c r="P66" s="29" t="str">
        <x:v>What did this person or organisation learn in Ukraine after 2022; what worked, what failed, and what is transferable?</x:v>
      </x:c>
      <x:c r="Q66" s="29"/>
    </x:row>
    <x:row r="67">
      <x:c r="A67" s="30" t="n">
        <x:v>63</x:v>
      </x:c>
      <x:c r="B67" s="29" t="str">
        <x:v>Sergii Mau</x:v>
      </x:c>
      <x:c r="C67" s="29" t="str">
        <x:v>—</x:v>
      </x:c>
      <x:c r="D67" s="29" t="str">
        <x:v>—</x:v>
      </x:c>
      <x:c r="E67" s="29" t="str">
        <x:v>To classify</x:v>
      </x:c>
      <x:c r="F67" s="29" t="str">
        <x:v>To assess</x:v>
      </x:c>
      <x:c r="G67" s="29" t="str">
        <x:v>Ukraine-related experience — assess</x:v>
      </x:c>
      <x:c r="H67" s="29" t="str">
        <x:v>Group entry only</x:v>
      </x:c>
      <x:c r="I67" s="29" t="str">
        <x:v>To assess</x:v>
      </x:c>
      <x:c r="J67" s="29" t="str">
        <x:v>Member / participant</x:v>
      </x:c>
      <x:c r="K67" s="29" t="str">
        <x:v>Professional experience from Ukraine — topic to be defined</x:v>
      </x:c>
      <x:c r="L67" s="29" t="str">
        <x:v>To assess</x:v>
      </x:c>
      <x:c r="M67" s="29" t="str">
        <x:v>Identity stated; professional profile required</x:v>
      </x:c>
      <x:c r="N67" s="29" t="str">
        <x:v>Not requested</x:v>
      </x:c>
      <x:c r="O67" s="29" t="str">
        <x:v>Human review and permission required before publication</x:v>
      </x:c>
      <x:c r="P67" s="29" t="str">
        <x:v>What did this person or organisation learn in Ukraine after 2022; what worked, what failed, and what is transferable?</x:v>
      </x:c>
      <x:c r="Q67" s="29"/>
    </x:row>
    <x:row r="68">
      <x:c r="A68" s="30" t="n">
        <x:v>64</x:v>
      </x:c>
      <x:c r="B68" s="29" t="str">
        <x:v>Shannon (identity unresolved)</x:v>
      </x:c>
      <x:c r="C68" s="29" t="str">
        <x:v>—</x:v>
      </x:c>
      <x:c r="D68" s="29" t="str">
        <x:v>—</x:v>
      </x:c>
      <x:c r="E68" s="29" t="str">
        <x:v>To classify</x:v>
      </x:c>
      <x:c r="F68" s="29" t="str">
        <x:v>To assess</x:v>
      </x:c>
      <x:c r="G68" s="29" t="str">
        <x:v>Ukraine-related experience — assess</x:v>
      </x:c>
      <x:c r="H68" s="29" t="str">
        <x:v>Group entry only</x:v>
      </x:c>
      <x:c r="I68" s="29" t="str">
        <x:v>To assess</x:v>
      </x:c>
      <x:c r="J68" s="29" t="str">
        <x:v>Member / participant</x:v>
      </x:c>
      <x:c r="K68" s="29" t="str">
        <x:v>Professional experience from Ukraine — topic to be defined</x:v>
      </x:c>
      <x:c r="L68" s="29" t="str">
        <x:v>To assess</x:v>
      </x:c>
      <x:c r="M68" s="29" t="str">
        <x:v>Not researched</x:v>
      </x:c>
      <x:c r="N68" s="29" t="str">
        <x:v>Not requested</x:v>
      </x:c>
      <x:c r="O68" s="29" t="str">
        <x:v>Human review and permission required before publication</x:v>
      </x:c>
      <x:c r="P68" s="29" t="str">
        <x:v>Who is this person, what is their current role, and should the record remain in the CRM?</x:v>
      </x:c>
      <x:c r="Q68" s="29"/>
    </x:row>
    <x:row r="69">
      <x:c r="A69" s="30" t="n">
        <x:v>65</x:v>
      </x:c>
      <x:c r="B69" s="29" t="str">
        <x:v>Shawn (surname unknown)</x:v>
      </x:c>
      <x:c r="C69" s="29" t="str">
        <x:v>—</x:v>
      </x:c>
      <x:c r="D69" s="29" t="str">
        <x:v>—</x:v>
      </x:c>
      <x:c r="E69" s="29" t="str">
        <x:v>To classify</x:v>
      </x:c>
      <x:c r="F69" s="29" t="str">
        <x:v>To assess</x:v>
      </x:c>
      <x:c r="G69" s="29" t="str">
        <x:v>Ukraine-related experience — assess</x:v>
      </x:c>
      <x:c r="H69" s="29" t="str">
        <x:v>Group entry only</x:v>
      </x:c>
      <x:c r="I69" s="29" t="str">
        <x:v>To assess</x:v>
      </x:c>
      <x:c r="J69" s="29" t="str">
        <x:v>Member / participant</x:v>
      </x:c>
      <x:c r="K69" s="29" t="str">
        <x:v>Professional experience from Ukraine — topic to be defined</x:v>
      </x:c>
      <x:c r="L69" s="29" t="str">
        <x:v>To assess</x:v>
      </x:c>
      <x:c r="M69" s="29" t="str">
        <x:v>Not researched</x:v>
      </x:c>
      <x:c r="N69" s="29" t="str">
        <x:v>Not requested</x:v>
      </x:c>
      <x:c r="O69" s="29" t="str">
        <x:v>Human review and permission required before publication</x:v>
      </x:c>
      <x:c r="P69" s="29" t="str">
        <x:v>What did this person or organisation learn in Ukraine after 2022; what worked, what failed, and what is transferable?</x:v>
      </x:c>
      <x:c r="Q69" s="29"/>
    </x:row>
    <x:row r="70">
      <x:c r="A70" s="30" t="n">
        <x:v>66</x:v>
      </x:c>
      <x:c r="B70" s="29" t="str">
        <x:v>Sofiia (surname unknown)</x:v>
      </x:c>
      <x:c r="C70" s="29" t="str">
        <x:v>—</x:v>
      </x:c>
      <x:c r="D70" s="29" t="str">
        <x:v>—</x:v>
      </x:c>
      <x:c r="E70" s="29" t="str">
        <x:v>To classify</x:v>
      </x:c>
      <x:c r="F70" s="29" t="str">
        <x:v>To assess</x:v>
      </x:c>
      <x:c r="G70" s="29" t="str">
        <x:v>Ukraine-related experience — assess</x:v>
      </x:c>
      <x:c r="H70" s="29" t="str">
        <x:v>Group entry only</x:v>
      </x:c>
      <x:c r="I70" s="29" t="str">
        <x:v>To assess</x:v>
      </x:c>
      <x:c r="J70" s="29" t="str">
        <x:v>Member / participant</x:v>
      </x:c>
      <x:c r="K70" s="29" t="str">
        <x:v>Professional experience from Ukraine — topic to be defined</x:v>
      </x:c>
      <x:c r="L70" s="29" t="str">
        <x:v>To assess</x:v>
      </x:c>
      <x:c r="M70" s="29" t="str">
        <x:v>Not researched</x:v>
      </x:c>
      <x:c r="N70" s="29" t="str">
        <x:v>Not requested</x:v>
      </x:c>
      <x:c r="O70" s="29" t="str">
        <x:v>Human review and permission required before publication</x:v>
      </x:c>
      <x:c r="P70" s="29" t="str">
        <x:v>What did this person or organisation learn in Ukraine after 2022; what worked, what failed, and what is transferable?</x:v>
      </x:c>
      <x:c r="Q70" s="29"/>
    </x:row>
    <x:row r="71">
      <x:c r="A71" s="30" t="n">
        <x:v>67</x:v>
      </x:c>
      <x:c r="B71" s="29" t="str">
        <x:v>Solomia Matsola</x:v>
      </x:c>
      <x:c r="C71" s="29" t="str">
        <x:v>Academic sector</x:v>
      </x:c>
      <x:c r="D71" s="29" t="str">
        <x:v>Researcher / academic; exact current role unverified</x:v>
      </x:c>
      <x:c r="E71" s="29" t="str">
        <x:v>Academia / research</x:v>
      </x:c>
      <x:c r="F71" s="29" t="str">
        <x:v>Research, education and knowledge transfer</x:v>
      </x:c>
      <x:c r="G71" s="29" t="str">
        <x:v>Researching and teaching crisis experience — verify</x:v>
      </x:c>
      <x:c r="H71" s="29" t="str">
        <x:v>Group entry only</x:v>
      </x:c>
      <x:c r="I71" s="29" t="str">
        <x:v>Author / researcher / academic reviewer</x:v>
      </x:c>
      <x:c r="J71" s="29" t="str">
        <x:v>Member / participant</x:v>
      </x:c>
      <x:c r="K71" s="29" t="str">
        <x:v>Turning operational experience into research and teaching</x:v>
      </x:c>
      <x:c r="L71" s="29" t="str">
        <x:v>Potentially relevant internationally — verify through interview</x:v>
      </x:c>
      <x:c r="M71" s="29" t="str">
        <x:v>Probable profile; match requires verification</x:v>
      </x:c>
      <x:c r="N71" s="29" t="str">
        <x:v>Not requested</x:v>
      </x:c>
      <x:c r="O71" s="29" t="str">
        <x:v>Human review and permission required before publication</x:v>
      </x:c>
      <x:c r="P71" s="29" t="str">
        <x:v>What did this person or organisation learn in Ukraine after 2022; what worked, what failed, and what is transferable?</x:v>
      </x:c>
      <x:c r="Q71" s="29"/>
    </x:row>
    <x:row r="72">
      <x:c r="A72" s="30" t="n">
        <x:v>68</x:v>
      </x:c>
      <x:c r="B72" s="29" t="str">
        <x:v>Stepan (surname unknown)</x:v>
      </x:c>
      <x:c r="C72" s="29" t="str">
        <x:v>—</x:v>
      </x:c>
      <x:c r="D72" s="29" t="str">
        <x:v>—</x:v>
      </x:c>
      <x:c r="E72" s="29" t="str">
        <x:v>To classify</x:v>
      </x:c>
      <x:c r="F72" s="29" t="str">
        <x:v>To assess</x:v>
      </x:c>
      <x:c r="G72" s="29" t="str">
        <x:v>Ukraine-related experience — assess</x:v>
      </x:c>
      <x:c r="H72" s="29" t="str">
        <x:v>Group entry only</x:v>
      </x:c>
      <x:c r="I72" s="29" t="str">
        <x:v>To assess</x:v>
      </x:c>
      <x:c r="J72" s="29" t="str">
        <x:v>Member / participant</x:v>
      </x:c>
      <x:c r="K72" s="29" t="str">
        <x:v>Professional experience from Ukraine — topic to be defined</x:v>
      </x:c>
      <x:c r="L72" s="29" t="str">
        <x:v>To assess</x:v>
      </x:c>
      <x:c r="M72" s="29" t="str">
        <x:v>Not researched</x:v>
      </x:c>
      <x:c r="N72" s="29" t="str">
        <x:v>Not requested</x:v>
      </x:c>
      <x:c r="O72" s="29" t="str">
        <x:v>Human review and permission required before publication</x:v>
      </x:c>
      <x:c r="P72" s="29" t="str">
        <x:v>What did this person or organisation learn in Ukraine after 2022; what worked, what failed, and what is transferable?</x:v>
      </x:c>
      <x:c r="Q72" s="29"/>
    </x:row>
    <x:row r="73">
      <x:c r="A73" s="30" t="n">
        <x:v>69</x:v>
      </x:c>
      <x:c r="B73" s="29" t="str">
        <x:v>Tara Neitzey</x:v>
      </x:c>
      <x:c r="C73" s="29" t="str">
        <x:v>Ukrainian Patriot</x:v>
      </x:c>
      <x:c r="D73" s="29" t="str">
        <x:v>Board Chair / Treasurer / operations contributor</x:v>
      </x:c>
      <x:c r="E73" s="29" t="str">
        <x:v>Technology / cyber</x:v>
      </x:c>
      <x:c r="F73" s="29" t="str">
        <x:v>Humanitarian logistics, nonprofit governance and international fundraising</x:v>
      </x:c>
      <x:c r="G73" s="29" t="str">
        <x:v>Supports humanitarian logistics, medical and mental-health assistance for communities in eastern and southern Ukraine and oversees US-side governance and finances.</x:v>
      </x:c>
      <x:c r="H73" s="29" t="str">
        <x:v>Documented public Ukraine activity</x:v>
      </x:c>
      <x:c r="I73" s="29" t="str">
        <x:v>Humanitarian speaker; nonprofit-governance contributor; connector</x:v>
      </x:c>
      <x:c r="J73" s="29" t="str">
        <x:v>Connector / community multiplier</x:v>
      </x:c>
      <x:c r="K73" s="29" t="str">
        <x:v>Small-network humanitarian delivery across borders and near front lines</x:v>
      </x:c>
      <x:c r="L73" s="29" t="str">
        <x:v>Diaspora mobilisation, accountable aid and agile logistics</x:v>
      </x:c>
      <x:c r="M73" s="29" t="str">
        <x:v>Public research completed; interview and consent required</x:v>
      </x:c>
      <x:c r="N73" s="29" t="str">
        <x:v>Not requested</x:v>
      </x:c>
      <x:c r="O73" s="29" t="str">
        <x:v>Human review and permission required before publication</x:v>
      </x:c>
      <x:c r="P73" s="29" t="str">
        <x:v>What allowed a small organisation to move aid quickly without losing accountability?</x:v>
      </x:c>
      <x:c r="Q73" s="29" t="str">
        <x:v>https://ukrainianpatriot.org/wp-content/uploads/2025/04/Ukrainian_Patriot_Impact_Report_2024_low_res.pdf</x:v>
      </x:c>
    </x:row>
    <x:row r="74">
      <x:c r="A74" s="30" t="n">
        <x:v>70</x:v>
      </x:c>
      <x:c r="B74" s="29" t="str">
        <x:v>Teddy (surname unknown)</x:v>
      </x:c>
      <x:c r="C74" s="29" t="str">
        <x:v>—</x:v>
      </x:c>
      <x:c r="D74" s="29" t="str">
        <x:v>—</x:v>
      </x:c>
      <x:c r="E74" s="29" t="str">
        <x:v>To classify</x:v>
      </x:c>
      <x:c r="F74" s="29" t="str">
        <x:v>To assess</x:v>
      </x:c>
      <x:c r="G74" s="29" t="str">
        <x:v>Ukraine-related experience — assess</x:v>
      </x:c>
      <x:c r="H74" s="29" t="str">
        <x:v>Group entry only</x:v>
      </x:c>
      <x:c r="I74" s="29" t="str">
        <x:v>To assess</x:v>
      </x:c>
      <x:c r="J74" s="29" t="str">
        <x:v>Member / participant</x:v>
      </x:c>
      <x:c r="K74" s="29" t="str">
        <x:v>Professional experience from Ukraine — topic to be defined</x:v>
      </x:c>
      <x:c r="L74" s="29" t="str">
        <x:v>To assess</x:v>
      </x:c>
      <x:c r="M74" s="29" t="str">
        <x:v>Not researched</x:v>
      </x:c>
      <x:c r="N74" s="29" t="str">
        <x:v>Not requested</x:v>
      </x:c>
      <x:c r="O74" s="29" t="str">
        <x:v>Human review and permission required before publication</x:v>
      </x:c>
      <x:c r="P74" s="29" t="str">
        <x:v>What did this person or organisation learn in Ukraine after 2022; what worked, what failed, and what is transferable?</x:v>
      </x:c>
      <x:c r="Q74" s="29"/>
    </x:row>
    <x:row r="75">
      <x:c r="A75" s="30" t="n">
        <x:v>71</x:v>
      </x:c>
      <x:c r="B75" s="29" t="str">
        <x:v>Tetiana (surname unknown)</x:v>
      </x:c>
      <x:c r="C75" s="29" t="str">
        <x:v>—</x:v>
      </x:c>
      <x:c r="D75" s="29" t="str">
        <x:v>—</x:v>
      </x:c>
      <x:c r="E75" s="29" t="str">
        <x:v>To classify</x:v>
      </x:c>
      <x:c r="F75" s="29" t="str">
        <x:v>To assess</x:v>
      </x:c>
      <x:c r="G75" s="29" t="str">
        <x:v>Ukraine-related experience — assess</x:v>
      </x:c>
      <x:c r="H75" s="29" t="str">
        <x:v>Group entry only</x:v>
      </x:c>
      <x:c r="I75" s="29" t="str">
        <x:v>To assess</x:v>
      </x:c>
      <x:c r="J75" s="29" t="str">
        <x:v>Member / participant</x:v>
      </x:c>
      <x:c r="K75" s="29" t="str">
        <x:v>Professional experience from Ukraine — topic to be defined</x:v>
      </x:c>
      <x:c r="L75" s="29" t="str">
        <x:v>To assess</x:v>
      </x:c>
      <x:c r="M75" s="29" t="str">
        <x:v>Not researched</x:v>
      </x:c>
      <x:c r="N75" s="29" t="str">
        <x:v>Not requested</x:v>
      </x:c>
      <x:c r="O75" s="29" t="str">
        <x:v>Human review and permission required before publication</x:v>
      </x:c>
      <x:c r="P75" s="29" t="str">
        <x:v>What did this person or organisation learn in Ukraine after 2022; what worked, what failed, and what is transferable?</x:v>
      </x:c>
      <x:c r="Q75" s="29"/>
    </x:row>
    <x:row r="76">
      <x:c r="A76" s="30" t="n">
        <x:v>72</x:v>
      </x:c>
      <x:c r="B76" s="29" t="str">
        <x:v>Tetiana Cherniavska</x:v>
      </x:c>
      <x:c r="C76" s="29" t="str">
        <x:v>Venbest LLC</x:v>
      </x:c>
      <x:c r="D76" s="29" t="str">
        <x:v>Risk Analyst</x:v>
      </x:c>
      <x:c r="E76" s="29" t="str">
        <x:v>Security / risk / resilience</x:v>
      </x:c>
      <x:c r="F76" s="29" t="str">
        <x:v>Security, strategic risk and crisis management</x:v>
      </x:c>
      <x:c r="G76" s="29" t="str">
        <x:v>Security and risk operations in wartime — verify</x:v>
      </x:c>
      <x:c r="H76" s="29" t="str">
        <x:v>Public source plus group data</x:v>
      </x:c>
      <x:c r="I76" s="29" t="str">
        <x:v>To assess</x:v>
      </x:c>
      <x:c r="J76" s="29" t="str">
        <x:v>Institutional partner candidate</x:v>
      </x:c>
      <x:c r="K76" s="29" t="str">
        <x:v>What changed in security and risk management after 2022</x:v>
      </x:c>
      <x:c r="L76" s="29" t="str">
        <x:v>Potentially relevant internationally — verify through interview</x:v>
      </x:c>
      <x:c r="M76" s="29" t="str">
        <x:v>Identity stated; professional profile required</x:v>
      </x:c>
      <x:c r="N76" s="29" t="str">
        <x:v>Not requested</x:v>
      </x:c>
      <x:c r="O76" s="29" t="str">
        <x:v>Human review and permission required before publication</x:v>
      </x:c>
      <x:c r="P76" s="29" t="str">
        <x:v>What did this person or organisation learn in Ukraine after 2022; what worked, what failed, and what is transferable?</x:v>
      </x:c>
      <x:c r="Q76" s="29" t="str">
        <x:v>https://vespergroup.se/en/security-and-safety-achieving-business-goals-in-ukraine/</x:v>
      </x:c>
    </x:row>
    <x:row r="77">
      <x:c r="A77" s="30" t="n">
        <x:v>73</x:v>
      </x:c>
      <x:c r="B77" s="29" t="str">
        <x:v>Toby Illingworth</x:v>
      </x:c>
      <x:c r="C77" s="29" t="str">
        <x:v>Yashchenko Foundation</x:v>
      </x:c>
      <x:c r="D77" s="29" t="str">
        <x:v>Founder</x:v>
      </x:c>
      <x:c r="E77" s="29" t="str">
        <x:v>Business / advisory</x:v>
      </x:c>
      <x:c r="F77" s="29" t="str">
        <x:v>Leadership, advisory and business continuity</x:v>
      </x:c>
      <x:c r="G77" s="29" t="str">
        <x:v>Business continuity and leadership under disruption — verify</x:v>
      </x:c>
      <x:c r="H77" s="29" t="str">
        <x:v>WhatsApp profile / group data only</x:v>
      </x:c>
      <x:c r="I77" s="29" t="str">
        <x:v>Speaker / interviewee / case-study contributor</x:v>
      </x:c>
      <x:c r="J77" s="29" t="str">
        <x:v>Member / participant</x:v>
      </x:c>
      <x:c r="K77" s="29" t="str">
        <x:v>How organisations continued operating during prolonged war</x:v>
      </x:c>
      <x:c r="L77" s="29" t="str">
        <x:v>Potentially relevant internationally — verify through interview</x:v>
      </x:c>
      <x:c r="M77" s="29" t="str">
        <x:v>Identity stated; professional profile required</x:v>
      </x:c>
      <x:c r="N77" s="29" t="str">
        <x:v>Not requested</x:v>
      </x:c>
      <x:c r="O77" s="29" t="str">
        <x:v>Human review and permission required before publication</x:v>
      </x:c>
      <x:c r="P77" s="29" t="str">
        <x:v>What did this person or organisation learn in Ukraine after 2022; what worked, what failed, and what is transferable?</x:v>
      </x:c>
      <x:c r="Q77" s="29"/>
    </x:row>
    <x:row r="78">
      <x:c r="A78" s="30" t="n">
        <x:v>74</x:v>
      </x:c>
      <x:c r="B78" s="29" t="str">
        <x:v>Tymofii (surname unknown)</x:v>
      </x:c>
      <x:c r="C78" s="29" t="str">
        <x:v>HelpAge International</x:v>
      </x:c>
      <x:c r="D78" s="29" t="str">
        <x:v>Security Manager</x:v>
      </x:c>
      <x:c r="E78" s="29" t="str">
        <x:v>Humanitarian / NGO</x:v>
      </x:c>
      <x:c r="F78" s="29" t="str">
        <x:v>Humanitarian security and duty of care</x:v>
      </x:c>
      <x:c r="G78" s="29" t="str">
        <x:v>Humanitarian access, protection and continuity — verify</x:v>
      </x:c>
      <x:c r="H78" s="29" t="str">
        <x:v>Public source plus group data</x:v>
      </x:c>
      <x:c r="I78" s="29" t="str">
        <x:v>Speaker / interviewee / case-study contributor</x:v>
      </x:c>
      <x:c r="J78" s="29" t="str">
        <x:v>Member / participant</x:v>
      </x:c>
      <x:c r="K78" s="29" t="str">
        <x:v>Maintaining humanitarian operations under wartime disruption</x:v>
      </x:c>
      <x:c r="L78" s="29" t="str">
        <x:v>Potentially relevant internationally — verify through interview</x:v>
      </x:c>
      <x:c r="M78" s="29" t="str">
        <x:v>Role known; identity and experience require verification</x:v>
      </x:c>
      <x:c r="N78" s="29" t="str">
        <x:v>Not requested</x:v>
      </x:c>
      <x:c r="O78" s="29" t="str">
        <x:v>Human review and permission required before publication</x:v>
      </x:c>
      <x:c r="P78" s="29" t="str">
        <x:v>What did this person or organisation learn in Ukraine after 2022; what worked, what failed, and what is transferable?</x:v>
      </x:c>
      <x:c r="Q78" s="29" t="str">
        <x:v>https://www.helpage.org/</x:v>
      </x:c>
    </x:row>
    <x:row r="79">
      <x:c r="A79" s="30" t="n">
        <x:v>75</x:v>
      </x:c>
      <x:c r="B79" s="29" t="str">
        <x:v>Uliana (surname unknown)</x:v>
      </x:c>
      <x:c r="C79" s="29" t="str">
        <x:v>—</x:v>
      </x:c>
      <x:c r="D79" s="29" t="str">
        <x:v>—</x:v>
      </x:c>
      <x:c r="E79" s="29" t="str">
        <x:v>To classify</x:v>
      </x:c>
      <x:c r="F79" s="29" t="str">
        <x:v>To assess</x:v>
      </x:c>
      <x:c r="G79" s="29" t="str">
        <x:v>Ukraine-related experience — assess</x:v>
      </x:c>
      <x:c r="H79" s="29" t="str">
        <x:v>Group entry only</x:v>
      </x:c>
      <x:c r="I79" s="29" t="str">
        <x:v>To assess</x:v>
      </x:c>
      <x:c r="J79" s="29" t="str">
        <x:v>Member / participant</x:v>
      </x:c>
      <x:c r="K79" s="29" t="str">
        <x:v>Professional experience from Ukraine — topic to be defined</x:v>
      </x:c>
      <x:c r="L79" s="29" t="str">
        <x:v>To assess</x:v>
      </x:c>
      <x:c r="M79" s="29" t="str">
        <x:v>Not researched</x:v>
      </x:c>
      <x:c r="N79" s="29" t="str">
        <x:v>Not requested</x:v>
      </x:c>
      <x:c r="O79" s="29" t="str">
        <x:v>Human review and permission required before publication</x:v>
      </x:c>
      <x:c r="P79" s="29" t="str">
        <x:v>What did this person or organisation learn in Ukraine after 2022; what worked, what failed, and what is transferable?</x:v>
      </x:c>
      <x:c r="Q79" s="29"/>
    </x:row>
    <x:row r="80">
      <x:c r="A80" s="30" t="n">
        <x:v>76</x:v>
      </x:c>
      <x:c r="B80" s="29" t="str">
        <x:v>ValChord (identity unresolved)</x:v>
      </x:c>
      <x:c r="C80" s="29" t="str">
        <x:v>—</x:v>
      </x:c>
      <x:c r="D80" s="29" t="str">
        <x:v>—</x:v>
      </x:c>
      <x:c r="E80" s="29" t="str">
        <x:v>To classify</x:v>
      </x:c>
      <x:c r="F80" s="29" t="str">
        <x:v>To assess</x:v>
      </x:c>
      <x:c r="G80" s="29" t="str">
        <x:v>Ukraine-related experience — assess</x:v>
      </x:c>
      <x:c r="H80" s="29" t="str">
        <x:v>WhatsApp profile / group data only</x:v>
      </x:c>
      <x:c r="I80" s="29" t="str">
        <x:v>To assess</x:v>
      </x:c>
      <x:c r="J80" s="29" t="str">
        <x:v>Member / participant</x:v>
      </x:c>
      <x:c r="K80" s="29" t="str">
        <x:v>Professional experience from Ukraine — topic to be defined</x:v>
      </x:c>
      <x:c r="L80" s="29" t="str">
        <x:v>To assess</x:v>
      </x:c>
      <x:c r="M80" s="29" t="str">
        <x:v>Not researched</x:v>
      </x:c>
      <x:c r="N80" s="29" t="str">
        <x:v>Not requested</x:v>
      </x:c>
      <x:c r="O80" s="29" t="str">
        <x:v>Human review and permission required before publication</x:v>
      </x:c>
      <x:c r="P80" s="29" t="str">
        <x:v>What did this person or organisation learn in Ukraine after 2022; what worked, what failed, and what is transferable?</x:v>
      </x:c>
      <x:c r="Q80" s="29"/>
    </x:row>
    <x:row r="81">
      <x:c r="A81" s="30" t="n">
        <x:v>77</x:v>
      </x:c>
      <x:c r="B81" s="29" t="str">
        <x:v>Vasyl Piskunov</x:v>
      </x:c>
      <x:c r="C81" s="29" t="str">
        <x:v>INSO Ukraine</x:v>
      </x:c>
      <x:c r="D81" s="29" t="str">
        <x:v>Safety Adviser</x:v>
      </x:c>
      <x:c r="E81" s="29" t="str">
        <x:v>Security / risk / resilience</x:v>
      </x:c>
      <x:c r="F81" s="29" t="str">
        <x:v>Security, strategic risk and crisis management</x:v>
      </x:c>
      <x:c r="G81" s="29" t="str">
        <x:v>Security and risk operations in wartime — verify</x:v>
      </x:c>
      <x:c r="H81" s="29" t="str">
        <x:v>Public source plus group data</x:v>
      </x:c>
      <x:c r="I81" s="29" t="str">
        <x:v>Speaker / interviewee / case-study contributor</x:v>
      </x:c>
      <x:c r="J81" s="29" t="str">
        <x:v>Connector / community multiplier</x:v>
      </x:c>
      <x:c r="K81" s="29" t="str">
        <x:v>What changed in security and risk management after 2022</x:v>
      </x:c>
      <x:c r="L81" s="29" t="str">
        <x:v>Potentially relevant internationally — verify through interview</x:v>
      </x:c>
      <x:c r="M81" s="29" t="str">
        <x:v>Identity stated; professional profile required</x:v>
      </x:c>
      <x:c r="N81" s="29" t="str">
        <x:v>Not requested</x:v>
      </x:c>
      <x:c r="O81" s="29" t="str">
        <x:v>Human review and permission required before publication</x:v>
      </x:c>
      <x:c r="P81" s="29" t="str">
        <x:v>What did this person or organisation learn in Ukraine after 2022; what worked, what failed, and what is transferable?</x:v>
      </x:c>
      <x:c r="Q81" s="29" t="str">
        <x:v>https://www.ngosafety.org/</x:v>
      </x:c>
    </x:row>
    <x:row r="82">
      <x:c r="A82" s="30" t="n">
        <x:v>78</x:v>
      </x:c>
      <x:c r="B82" s="29" t="str">
        <x:v>Viktor Riabokin</x:v>
      </x:c>
      <x:c r="C82" s="29" t="str">
        <x:v>Harvard Ukraine programme / Vidbudova</x:v>
      </x:c>
      <x:c r="D82" s="29" t="str">
        <x:v>Senior Adviser, Global Partnerships</x:v>
      </x:c>
      <x:c r="E82" s="29" t="str">
        <x:v>Energy / infrastructure / logistics</x:v>
      </x:c>
      <x:c r="F82" s="29" t="str">
        <x:v>Sustainable reconstruction and international partnerships</x:v>
      </x:c>
      <x:c r="G82" s="29" t="str">
        <x:v>Organises and advises initiatives on sustainable reconstruction, healthy buildings and global partnerships for rebuilding Ukraine.</x:v>
      </x:c>
      <x:c r="H82" s="29" t="str">
        <x:v>Documented public Ukraine reconstruction activity</x:v>
      </x:c>
      <x:c r="I82" s="29" t="str">
        <x:v>Reconstruction speaker; partnership lead; programme adviser</x:v>
      </x:c>
      <x:c r="J82" s="29" t="str">
        <x:v>Member / participant</x:v>
      </x:c>
      <x:c r="K82" s="29" t="str">
        <x:v>Turning wartime destruction into safer, sustainable reconstruction</x:v>
      </x:c>
      <x:c r="L82" s="29" t="str">
        <x:v>Reconstruction governance, standards and partnership design</x:v>
      </x:c>
      <x:c r="M82" s="29" t="str">
        <x:v>Public research completed; interview and consent required</x:v>
      </x:c>
      <x:c r="N82" s="29" t="str">
        <x:v>Not requested</x:v>
      </x:c>
      <x:c r="O82" s="29" t="str">
        <x:v>Human review and permission required before publication</x:v>
      </x:c>
      <x:c r="P82" s="29" t="str">
        <x:v>Which decisions made now will most affect the safety and sustainability of reconstruction?</x:v>
      </x:c>
      <x:c r="Q82" s="29" t="str">
        <x:v>https://healthybuildings.hsph.harvard.edu/education/advancing-sustainable-development-of-ukraine/</x:v>
      </x:c>
    </x:row>
    <x:row r="83">
      <x:c r="A83" s="30" t="n">
        <x:v>79</x:v>
      </x:c>
      <x:c r="B83" s="29" t="str">
        <x:v>Vitalii Stoliarchuk</x:v>
      </x:c>
      <x:c r="C83" s="29" t="str">
        <x:v>State Design Office Yuzhnoye / aerospace R&amp;D</x:v>
      </x:c>
      <x:c r="D83" s="29" t="str">
        <x:v>Testing engineer and research leader</x:v>
      </x:c>
      <x:c r="E83" s="29" t="str">
        <x:v>Academia / research</x:v>
      </x:c>
      <x:c r="F83" s="29" t="str">
        <x:v>Aerospace testing, complex engineering systems and R&amp;D quality</x:v>
      </x:c>
      <x:c r="G83" s="29" t="str">
        <x:v>Public profile documents Ukrainian aerospace and rocket-system testing expertise; no operational defence claim is made.</x:v>
      </x:c>
      <x:c r="H83" s="29" t="str">
        <x:v>Documented public technical profile; security review required</x:v>
      </x:c>
      <x:c r="I83" s="29" t="str">
        <x:v>Technical speaker; research contributor; innovation mentor</x:v>
      </x:c>
      <x:c r="J83" s="29" t="str">
        <x:v>Member / participant</x:v>
      </x:c>
      <x:c r="K83" s="29" t="str">
        <x:v>Maintaining quality and safety in complex engineering under national stress</x:v>
      </x:c>
      <x:c r="L83" s="29" t="str">
        <x:v>High-reliability engineering, testing governance and dual-use innovation</x:v>
      </x:c>
      <x:c r="M83" s="29" t="str">
        <x:v>Public research completed; interview and consent required</x:v>
      </x:c>
      <x:c r="N83" s="29" t="str">
        <x:v>Not requested</x:v>
      </x:c>
      <x:c r="O83" s="29" t="str">
        <x:v>Human review and permission required before publication</x:v>
      </x:c>
      <x:c r="P83" s="29" t="str">
        <x:v>How have wartime constraints changed testing, quality assurance and R&amp;D continuity?</x:v>
      </x:c>
      <x:c r="Q83" s="29" t="str">
        <x:v>https://www.b2match.com/e/cl4-digital-2025/participants/2951742</x:v>
      </x:c>
    </x:row>
    <x:row r="84">
      <x:c r="A84" s="30" t="n">
        <x:v>80</x:v>
      </x:c>
      <x:c r="B84" s="29" t="str">
        <x:v>Vitaly Muraviev</x:v>
      </x:c>
      <x:c r="C84" s="29" t="str">
        <x:v>Independent</x:v>
      </x:c>
      <x:c r="D84" s="29" t="str">
        <x:v>Freelance Consultant</x:v>
      </x:c>
      <x:c r="E84" s="29" t="str">
        <x:v>Business / advisory</x:v>
      </x:c>
      <x:c r="F84" s="29" t="str">
        <x:v>Not sufficiently established from reliable public sources</x:v>
      </x:c>
      <x:c r="G84" s="29" t="str">
        <x:v>No reliable public wartime case identified; avoid confusion with namesakes.</x:v>
      </x:c>
      <x:c r="H84" s="29" t="str">
        <x:v>Limited public evidence; interview required</x:v>
      </x:c>
      <x:c r="I84" s="29" t="str">
        <x:v>Profile verification first</x:v>
      </x:c>
      <x:c r="J84" s="29" t="str">
        <x:v>Connector / community multiplier</x:v>
      </x:c>
      <x:c r="K84" s="29" t="str">
        <x:v>To be defined through identity and expertise interview</x:v>
      </x:c>
      <x:c r="L84" s="29" t="str">
        <x:v>Not assessable yet</x:v>
      </x:c>
      <x:c r="M84" s="29" t="str">
        <x:v>Public evidence limited; interview required</x:v>
      </x:c>
      <x:c r="N84" s="29" t="str">
        <x:v>Not requested</x:v>
      </x:c>
      <x:c r="O84" s="29" t="str">
        <x:v>Human review and permission required before publication</x:v>
      </x:c>
      <x:c r="P84" s="29" t="str">
        <x:v>What is your current professional focus and which Ukraine experience would you be willing to contribute?</x:v>
      </x:c>
      <x:c r="Q84" s="29" t="str">
        <x:v>https://ua.linkedin.com/in/vitaly-muraviev-48a7434</x:v>
      </x:c>
    </x:row>
    <x:row r="85">
      <x:c r="A85" s="30" t="n">
        <x:v>81</x:v>
      </x:c>
      <x:c r="B85" s="29" t="str">
        <x:v>Vlad (surname unknown)</x:v>
      </x:c>
      <x:c r="C85" s="29" t="str">
        <x:v>—</x:v>
      </x:c>
      <x:c r="D85" s="29" t="str">
        <x:v>—</x:v>
      </x:c>
      <x:c r="E85" s="29" t="str">
        <x:v>To classify</x:v>
      </x:c>
      <x:c r="F85" s="29" t="str">
        <x:v>To assess</x:v>
      </x:c>
      <x:c r="G85" s="29" t="str">
        <x:v>Ukraine-related experience — assess</x:v>
      </x:c>
      <x:c r="H85" s="29" t="str">
        <x:v>Group entry only</x:v>
      </x:c>
      <x:c r="I85" s="29" t="str">
        <x:v>To assess</x:v>
      </x:c>
      <x:c r="J85" s="29" t="str">
        <x:v>Member / participant</x:v>
      </x:c>
      <x:c r="K85" s="29" t="str">
        <x:v>Professional experience from Ukraine — topic to be defined</x:v>
      </x:c>
      <x:c r="L85" s="29" t="str">
        <x:v>To assess</x:v>
      </x:c>
      <x:c r="M85" s="29" t="str">
        <x:v>Not researched</x:v>
      </x:c>
      <x:c r="N85" s="29" t="str">
        <x:v>Not requested</x:v>
      </x:c>
      <x:c r="O85" s="29" t="str">
        <x:v>Human review and permission required before publication</x:v>
      </x:c>
      <x:c r="P85" s="29" t="str">
        <x:v>What did this person or organisation learn in Ukraine after 2022; what worked, what failed, and what is transferable?</x:v>
      </x:c>
      <x:c r="Q85" s="29"/>
    </x:row>
    <x:row r="86">
      <x:c r="A86" s="30" t="n">
        <x:v>82</x:v>
      </x:c>
      <x:c r="B86" s="29" t="str">
        <x:v>Volodymyr (surname unknown)</x:v>
      </x:c>
      <x:c r="C86" s="29" t="str">
        <x:v>Caritas-Spes Ukraine</x:v>
      </x:c>
      <x:c r="D86" s="29" t="str">
        <x:v>Risk &amp; Security Manager</x:v>
      </x:c>
      <x:c r="E86" s="29" t="str">
        <x:v>Humanitarian / NGO</x:v>
      </x:c>
      <x:c r="F86" s="29" t="str">
        <x:v>Humanitarian security and duty of care</x:v>
      </x:c>
      <x:c r="G86" s="29" t="str">
        <x:v>Humanitarian access, protection and continuity — verify</x:v>
      </x:c>
      <x:c r="H86" s="29" t="str">
        <x:v>Public source plus group data</x:v>
      </x:c>
      <x:c r="I86" s="29" t="str">
        <x:v>Speaker / interviewee / case-study contributor</x:v>
      </x:c>
      <x:c r="J86" s="29" t="str">
        <x:v>Member / participant</x:v>
      </x:c>
      <x:c r="K86" s="29" t="str">
        <x:v>Maintaining humanitarian operations under wartime disruption</x:v>
      </x:c>
      <x:c r="L86" s="29" t="str">
        <x:v>Potentially relevant internationally — verify through interview</x:v>
      </x:c>
      <x:c r="M86" s="29" t="str">
        <x:v>Role known; identity and experience require verification</x:v>
      </x:c>
      <x:c r="N86" s="29" t="str">
        <x:v>Not requested</x:v>
      </x:c>
      <x:c r="O86" s="29" t="str">
        <x:v>Human review and permission required before publication</x:v>
      </x:c>
      <x:c r="P86" s="29" t="str">
        <x:v>What did this person or organisation learn in Ukraine after 2022; what worked, what failed, and what is transferable?</x:v>
      </x:c>
      <x:c r="Q86" s="29" t="str">
        <x:v>https://caritas-spes.org/en</x:v>
      </x:c>
    </x:row>
    <x:row r="87">
      <x:c r="A87" s="30" t="n">
        <x:v>83</x:v>
      </x:c>
      <x:c r="B87" s="29" t="str">
        <x:v>Will Giddings</x:v>
      </x:c>
      <x:c r="C87" s="29" t="str">
        <x:v>Dow Jones</x:v>
      </x:c>
      <x:c r="D87" s="29" t="str">
        <x:v>Risk Manager</x:v>
      </x:c>
      <x:c r="E87" s="29" t="str">
        <x:v>Security / risk / resilience</x:v>
      </x:c>
      <x:c r="F87" s="29" t="str">
        <x:v>Security, strategic risk and crisis management</x:v>
      </x:c>
      <x:c r="G87" s="29" t="str">
        <x:v>Security and risk operations in wartime — verify</x:v>
      </x:c>
      <x:c r="H87" s="29" t="str">
        <x:v>WhatsApp profile / group data only</x:v>
      </x:c>
      <x:c r="I87" s="29" t="str">
        <x:v>Speaker / interviewee / case-study contributor</x:v>
      </x:c>
      <x:c r="J87" s="29" t="str">
        <x:v>Member / participant</x:v>
      </x:c>
      <x:c r="K87" s="29" t="str">
        <x:v>What changed in security and risk management after 2022</x:v>
      </x:c>
      <x:c r="L87" s="29" t="str">
        <x:v>Potentially relevant internationally — verify through interview</x:v>
      </x:c>
      <x:c r="M87" s="29" t="str">
        <x:v>Identity stated; professional profile required</x:v>
      </x:c>
      <x:c r="N87" s="29" t="str">
        <x:v>Not requested</x:v>
      </x:c>
      <x:c r="O87" s="29" t="str">
        <x:v>Human review and permission required before publication</x:v>
      </x:c>
      <x:c r="P87" s="29" t="str">
        <x:v>What did this person or organisation learn in Ukraine after 2022; what worked, what failed, and what is transferable?</x:v>
      </x:c>
      <x:c r="Q87" s="29"/>
    </x:row>
    <x:row r="88">
      <x:c r="A88" s="30" t="n">
        <x:v>84</x:v>
      </x:c>
      <x:c r="B88" s="29" t="str">
        <x:v>Oscar Yatsyno</x:v>
      </x:c>
      <x:c r="C88" s="29" t="str">
        <x:v>Caritas</x:v>
      </x:c>
      <x:c r="D88" s="29" t="str">
        <x:v>DHSSA / security-related role</x:v>
      </x:c>
      <x:c r="E88" s="29" t="str">
        <x:v>Humanitarian / NGO</x:v>
      </x:c>
      <x:c r="F88" s="29" t="str">
        <x:v>Humanitarian security and duty of care</x:v>
      </x:c>
      <x:c r="G88" s="29" t="str">
        <x:v>Humanitarian access, protection and continuity — verify</x:v>
      </x:c>
      <x:c r="H88" s="29" t="str">
        <x:v>WhatsApp profile / group data only</x:v>
      </x:c>
      <x:c r="I88" s="29" t="str">
        <x:v>To assess</x:v>
      </x:c>
      <x:c r="J88" s="29" t="str">
        <x:v>Connector / community multiplier</x:v>
      </x:c>
      <x:c r="K88" s="29" t="str">
        <x:v>Maintaining humanitarian operations under wartime disruption</x:v>
      </x:c>
      <x:c r="L88" s="29" t="str">
        <x:v>Potentially relevant internationally — verify through interview</x:v>
      </x:c>
      <x:c r="M88" s="29" t="str">
        <x:v>Identity stated; professional profile required</x:v>
      </x:c>
      <x:c r="N88" s="29" t="str">
        <x:v>Not requested</x:v>
      </x:c>
      <x:c r="O88" s="29" t="str">
        <x:v>Human review and permission required before publication</x:v>
      </x:c>
      <x:c r="P88" s="29" t="str">
        <x:v>What did this person or organisation learn in Ukraine after 2022; what worked, what failed, and what is transferable?</x:v>
      </x:c>
      <x:c r="Q88" s="29"/>
    </x:row>
    <x:row r="89">
      <x:c r="A89" s="30" t="n">
        <x:v>85</x:v>
      </x:c>
      <x:c r="B89" s="29" t="str">
        <x:v>Yomi Kleinmann</x:v>
      </x:c>
      <x:c r="C89" s="29" t="str">
        <x:v>Nonviolent Peaceforce Ukraine</x:v>
      </x:c>
      <x:c r="D89" s="29" t="str">
        <x:v>Head of Programmes</x:v>
      </x:c>
      <x:c r="E89" s="29" t="str">
        <x:v>To classify</x:v>
      </x:c>
      <x:c r="F89" s="29" t="str">
        <x:v>Civilian protection, locally led humanitarian action and duty of care</x:v>
      </x:c>
      <x:c r="G89" s="29" t="str">
        <x:v>Helped develop protection and early-warning practice, including frequency analysers that warn humanitarian teams of FPV-drone threats during evacuations and aid delivery.</x:v>
      </x:c>
      <x:c r="H89" s="29" t="str">
        <x:v>Documented public Ukraine case</x:v>
      </x:c>
      <x:c r="I89" s="29" t="str">
        <x:v>Senior humanitarian speaker; case author; programme partner</x:v>
      </x:c>
      <x:c r="J89" s="29" t="str">
        <x:v>Member / participant</x:v>
      </x:c>
      <x:c r="K89" s="29" t="str">
        <x:v>Adapting civilian protection as battlefield technology changes</x:v>
      </x:c>
      <x:c r="L89" s="29" t="str">
        <x:v>Responsible technology, early warning and locally led protection</x:v>
      </x:c>
      <x:c r="M89" s="29" t="str">
        <x:v>Public research completed; interview and consent required</x:v>
      </x:c>
      <x:c r="N89" s="29" t="str">
        <x:v>Not requested</x:v>
      </x:c>
      <x:c r="O89" s="29" t="str">
        <x:v>Human review and permission required before publication</x:v>
      </x:c>
      <x:c r="P89" s="29" t="str">
        <x:v>How should humanitarian organisations evaluate protective technology without creating new harm?</x:v>
      </x:c>
      <x:c r="Q89" s="29" t="str">
        <x:v>https://nonviolentpeaceforce.org/nonviolent-peaceforce-rolls-out-frequency-analysers-in-ukraine-to-help-protect-civilians-from-attacks/</x:v>
      </x:c>
    </x:row>
    <x:row r="90">
      <x:c r="A90" s="30" t="n">
        <x:v>86</x:v>
      </x:c>
      <x:c r="B90" s="29" t="str">
        <x:v>Yuliya (surname unknown)</x:v>
      </x:c>
      <x:c r="C90" s="29" t="str">
        <x:v>—</x:v>
      </x:c>
      <x:c r="D90" s="29" t="str">
        <x:v>—</x:v>
      </x:c>
      <x:c r="E90" s="29" t="str">
        <x:v>To classify</x:v>
      </x:c>
      <x:c r="F90" s="29" t="str">
        <x:v>To assess</x:v>
      </x:c>
      <x:c r="G90" s="29" t="str">
        <x:v>Ukraine-related experience — assess</x:v>
      </x:c>
      <x:c r="H90" s="29" t="str">
        <x:v>Group entry only</x:v>
      </x:c>
      <x:c r="I90" s="29" t="str">
        <x:v>To assess</x:v>
      </x:c>
      <x:c r="J90" s="29" t="str">
        <x:v>Member / participant</x:v>
      </x:c>
      <x:c r="K90" s="29" t="str">
        <x:v>Professional experience from Ukraine — topic to be defined</x:v>
      </x:c>
      <x:c r="L90" s="29" t="str">
        <x:v>To assess</x:v>
      </x:c>
      <x:c r="M90" s="29" t="str">
        <x:v>Not researched</x:v>
      </x:c>
      <x:c r="N90" s="29" t="str">
        <x:v>Not requested</x:v>
      </x:c>
      <x:c r="O90" s="29" t="str">
        <x:v>Human review and permission required before publication</x:v>
      </x:c>
      <x:c r="P90" s="29" t="str">
        <x:v>What did this person or organisation learn in Ukraine after 2022; what worked, what failed, and what is transferable?</x:v>
      </x:c>
      <x:c r="Q90" s="29"/>
    </x:row>
    <x:row r="91">
      <x:c r="A91" s="30" t="n">
        <x:v>87</x:v>
      </x:c>
      <x:c r="B91" s="29" t="str">
        <x:v>Yevhenii (surname unknown)</x:v>
      </x:c>
      <x:c r="C91" s="29" t="str">
        <x:v>—</x:v>
      </x:c>
      <x:c r="D91" s="29" t="str">
        <x:v>—</x:v>
      </x:c>
      <x:c r="E91" s="29" t="str">
        <x:v>To classify</x:v>
      </x:c>
      <x:c r="F91" s="29" t="str">
        <x:v>To assess</x:v>
      </x:c>
      <x:c r="G91" s="29" t="str">
        <x:v>Ukraine-related experience — assess</x:v>
      </x:c>
      <x:c r="H91" s="29" t="str">
        <x:v>Group entry only</x:v>
      </x:c>
      <x:c r="I91" s="29" t="str">
        <x:v>To assess</x:v>
      </x:c>
      <x:c r="J91" s="29" t="str">
        <x:v>Member / participant</x:v>
      </x:c>
      <x:c r="K91" s="29" t="str">
        <x:v>Professional experience from Ukraine — topic to be defined</x:v>
      </x:c>
      <x:c r="L91" s="29" t="str">
        <x:v>To assess</x:v>
      </x:c>
      <x:c r="M91" s="29" t="str">
        <x:v>Not researched</x:v>
      </x:c>
      <x:c r="N91" s="29" t="str">
        <x:v>Not requested</x:v>
      </x:c>
      <x:c r="O91" s="29" t="str">
        <x:v>Human review and permission required before publication</x:v>
      </x:c>
      <x:c r="P91" s="29" t="str">
        <x:v>What did this person or organisation learn in Ukraine after 2022; what worked, what failed, and what is transferable?</x:v>
      </x:c>
      <x:c r="Q91" s="29"/>
    </x:row>
    <x:row r="92">
      <x:c r="A92" s="30" t="n">
        <x:v>88</x:v>
      </x:c>
      <x:c r="B92" s="29" t="str">
        <x:v>Igor (surname unknown)</x:v>
      </x:c>
      <x:c r="C92" s="29" t="str">
        <x:v>—</x:v>
      </x:c>
      <x:c r="D92" s="29" t="str">
        <x:v>—</x:v>
      </x:c>
      <x:c r="E92" s="29" t="str">
        <x:v>To classify</x:v>
      </x:c>
      <x:c r="F92" s="29" t="str">
        <x:v>To assess</x:v>
      </x:c>
      <x:c r="G92" s="29" t="str">
        <x:v>Ukraine-related experience — assess</x:v>
      </x:c>
      <x:c r="H92" s="29" t="str">
        <x:v>Group entry only</x:v>
      </x:c>
      <x:c r="I92" s="29" t="str">
        <x:v>To assess</x:v>
      </x:c>
      <x:c r="J92" s="29" t="str">
        <x:v>Member / participant</x:v>
      </x:c>
      <x:c r="K92" s="29" t="str">
        <x:v>Professional experience from Ukraine — topic to be defined</x:v>
      </x:c>
      <x:c r="L92" s="29" t="str">
        <x:v>To assess</x:v>
      </x:c>
      <x:c r="M92" s="29" t="str">
        <x:v>Not researched</x:v>
      </x:c>
      <x:c r="N92" s="29" t="str">
        <x:v>Not requested</x:v>
      </x:c>
      <x:c r="O92" s="29" t="str">
        <x:v>Human review and permission required before publication</x:v>
      </x:c>
      <x:c r="P92" s="29" t="str">
        <x:v>What did this person or organisation learn in Ukraine after 2022; what worked, what failed, and what is transferable?</x:v>
      </x:c>
      <x:c r="Q92" s="29"/>
    </x:row>
    <x:row r="93">
      <x:c r="A93" s="30" t="n">
        <x:v>89</x:v>
      </x:c>
      <x:c r="B93" s="29" t="str">
        <x:v>Igor (surname unknown)</x:v>
      </x:c>
      <x:c r="C93" s="29" t="str">
        <x:v>NGO Misto Syly</x:v>
      </x:c>
      <x:c r="D93" s="29" t="str">
        <x:v>Project Manager</x:v>
      </x:c>
      <x:c r="E93" s="29" t="str">
        <x:v>Humanitarian / NGO</x:v>
      </x:c>
      <x:c r="F93" s="29" t="str">
        <x:v>Humanitarian operations and protection</x:v>
      </x:c>
      <x:c r="G93" s="29" t="str">
        <x:v>Humanitarian access, protection and continuity — verify</x:v>
      </x:c>
      <x:c r="H93" s="29" t="str">
        <x:v>WhatsApp profile / group data only</x:v>
      </x:c>
      <x:c r="I93" s="29" t="str">
        <x:v>Speaker / interviewee / case-study contributor</x:v>
      </x:c>
      <x:c r="J93" s="29" t="str">
        <x:v>Member / participant</x:v>
      </x:c>
      <x:c r="K93" s="29" t="str">
        <x:v>Maintaining humanitarian operations under wartime disruption</x:v>
      </x:c>
      <x:c r="L93" s="29" t="str">
        <x:v>Potentially relevant internationally — verify through interview</x:v>
      </x:c>
      <x:c r="M93" s="29" t="str">
        <x:v>Role known; identity and experience require verification</x:v>
      </x:c>
      <x:c r="N93" s="29" t="str">
        <x:v>Not requested</x:v>
      </x:c>
      <x:c r="O93" s="29" t="str">
        <x:v>Human review and permission required before publication</x:v>
      </x:c>
      <x:c r="P93" s="29" t="str">
        <x:v>What did this person or organisation learn in Ukraine after 2022; what worked, what failed, and what is transferable?</x:v>
      </x:c>
      <x:c r="Q93" s="29"/>
    </x:row>
    <x:row r="94">
      <x:c r="A94" s="30" t="n">
        <x:v>90</x:v>
      </x:c>
      <x:c r="B94" s="29" t="str">
        <x:v>Iryna “Khoi” Hoi</x:v>
      </x:c>
      <x:c r="C94" s="29" t="str">
        <x:v>Azov.Care / 12th Azov support unit / Pharmaxi</x:v>
      </x:c>
      <x:c r="D94" s="29" t="str">
        <x:v>Founder; Head of Medical Division; business-development leader</x:v>
      </x:c>
      <x:c r="E94" s="29" t="str">
        <x:v>Business / advisory</x:v>
      </x:c>
      <x:c r="F94" s="29" t="str">
        <x:v>Frontline medical leadership, veteran/family support and decisions under uncertainty</x:v>
      </x:c>
      <x:c r="G94" s="29" t="str">
        <x:v>Public talks describe medical leadership where imperfect but viable decisions must be made quickly and errors can cost lives; also works on POW, veteran and family support.</x:v>
      </x:c>
      <x:c r="H94" s="29" t="str">
        <x:v>Documented public Ukraine case</x:v>
      </x:c>
      <x:c r="I94" s="29" t="str">
        <x:v>Keynote speaker; leadership case author; women-in-risk mentor</x:v>
      </x:c>
      <x:c r="J94" s="29" t="str">
        <x:v>Member / participant</x:v>
      </x:c>
      <x:c r="K94" s="29" t="str">
        <x:v>A new ethics of leadership when decisions carry immediate human consequences</x:v>
      </x:c>
      <x:c r="L94" s="29" t="str">
        <x:v>Crisis leadership, medical command and veteran ecosystems</x:v>
      </x:c>
      <x:c r="M94" s="29" t="str">
        <x:v>Public research completed; interview and consent required</x:v>
      </x:c>
      <x:c r="N94" s="29" t="str">
        <x:v>Not requested</x:v>
      </x:c>
      <x:c r="O94" s="29" t="str">
        <x:v>Human review and permission required before publication</x:v>
      </x:c>
      <x:c r="P94" s="29" t="str">
        <x:v>How do teams learn to make fast, morally defensible decisions with incomplete information?</x:v>
      </x:c>
      <x:c r="Q94" s="29" t="str">
        <x:v>https://lvbs.com.ua/en/news-en/gerard-seijts-iryna-hoi-and-georg-von-nolcken-on-the-new-ethics-of-ukrainian-leadership/</x:v>
      </x:c>
    </x:row>
    <x:row r="95">
      <x:c r="A95" s="30" t="n">
        <x:v>91</x:v>
      </x:c>
      <x:c r="B95" s="29" t="str">
        <x:v>Max Hryshchenko</x:v>
      </x:c>
      <x:c r="C95" s="29" t="str">
        <x:v>—</x:v>
      </x:c>
      <x:c r="D95" s="29" t="str">
        <x:v>—</x:v>
      </x:c>
      <x:c r="E95" s="29" t="str">
        <x:v>To classify</x:v>
      </x:c>
      <x:c r="F95" s="29" t="str">
        <x:v>To assess</x:v>
      </x:c>
      <x:c r="G95" s="29" t="str">
        <x:v>Ukraine-related experience — assess</x:v>
      </x:c>
      <x:c r="H95" s="29" t="str">
        <x:v>Group entry only</x:v>
      </x:c>
      <x:c r="I95" s="29" t="str">
        <x:v>To assess</x:v>
      </x:c>
      <x:c r="J95" s="29" t="str">
        <x:v>Member / participant</x:v>
      </x:c>
      <x:c r="K95" s="29" t="str">
        <x:v>Professional experience from Ukraine — topic to be defined</x:v>
      </x:c>
      <x:c r="L95" s="29" t="str">
        <x:v>To assess</x:v>
      </x:c>
      <x:c r="M95" s="29" t="str">
        <x:v>Identity stated; professional profile required</x:v>
      </x:c>
      <x:c r="N95" s="29" t="str">
        <x:v>Not requested</x:v>
      </x:c>
      <x:c r="O95" s="29" t="str">
        <x:v>Human review and permission required before publication</x:v>
      </x:c>
      <x:c r="P95" s="29" t="str">
        <x:v>What did this person or organisation learn in Ukraine after 2022; what worked, what failed, and what is transferable?</x:v>
      </x:c>
      <x:c r="Q95" s="29"/>
    </x:row>
    <x:row r="96">
      <x:c r="A96" s="30" t="n">
        <x:v>92</x:v>
      </x:c>
      <x:c r="B96" s="29" t="str">
        <x:v>Mariia (surname unknown)</x:v>
      </x:c>
      <x:c r="C96" s="29" t="str">
        <x:v>—</x:v>
      </x:c>
      <x:c r="D96" s="29" t="str">
        <x:v>—</x:v>
      </x:c>
      <x:c r="E96" s="29" t="str">
        <x:v>To classify</x:v>
      </x:c>
      <x:c r="F96" s="29" t="str">
        <x:v>To assess</x:v>
      </x:c>
      <x:c r="G96" s="29" t="str">
        <x:v>Ukraine-related experience — assess</x:v>
      </x:c>
      <x:c r="H96" s="29" t="str">
        <x:v>Group entry only</x:v>
      </x:c>
      <x:c r="I96" s="29" t="str">
        <x:v>To assess</x:v>
      </x:c>
      <x:c r="J96" s="29" t="str">
        <x:v>Member / participant</x:v>
      </x:c>
      <x:c r="K96" s="29" t="str">
        <x:v>Professional experience from Ukraine — topic to be defined</x:v>
      </x:c>
      <x:c r="L96" s="29" t="str">
        <x:v>To assess</x:v>
      </x:c>
      <x:c r="M96" s="29" t="str">
        <x:v>Not researched</x:v>
      </x:c>
      <x:c r="N96" s="29" t="str">
        <x:v>Not requested</x:v>
      </x:c>
      <x:c r="O96" s="29" t="str">
        <x:v>Human review and permission required before publication</x:v>
      </x:c>
      <x:c r="P96" s="29" t="str">
        <x:v>What did this person or organisation learn in Ukraine after 2022; what worked, what failed, and what is transferable?</x:v>
      </x:c>
      <x:c r="Q96" s="29"/>
    </x:row>
    <x:row r="97">
      <x:c r="A97" s="30" t="n">
        <x:v>93</x:v>
      </x:c>
      <x:c r="B97" s="29" t="str">
        <x:v>Natalia Martseniuk</x:v>
      </x:c>
      <x:c r="C97" s="29" t="str">
        <x:v>NULES (probable)</x:v>
      </x:c>
      <x:c r="D97" s="29" t="str">
        <x:v>Aquaculture academic (probable)</x:v>
      </x:c>
      <x:c r="E97" s="29" t="str">
        <x:v>Academia / research</x:v>
      </x:c>
      <x:c r="F97" s="29" t="str">
        <x:v>Research, education and knowledge transfer</x:v>
      </x:c>
      <x:c r="G97" s="29" t="str">
        <x:v>Researching and teaching crisis experience — verify</x:v>
      </x:c>
      <x:c r="H97" s="29" t="str">
        <x:v>WhatsApp profile / group data only</x:v>
      </x:c>
      <x:c r="I97" s="29" t="str">
        <x:v>Author / researcher / academic reviewer</x:v>
      </x:c>
      <x:c r="J97" s="29" t="str">
        <x:v>Member / participant</x:v>
      </x:c>
      <x:c r="K97" s="29" t="str">
        <x:v>Turning operational experience into research and teaching</x:v>
      </x:c>
      <x:c r="L97" s="29" t="str">
        <x:v>Potentially relevant internationally — verify through interview</x:v>
      </x:c>
      <x:c r="M97" s="29" t="str">
        <x:v>Probable profile; match requires verification</x:v>
      </x:c>
      <x:c r="N97" s="29" t="str">
        <x:v>Not requested</x:v>
      </x:c>
      <x:c r="O97" s="29" t="str">
        <x:v>Human review and permission required before publication</x:v>
      </x:c>
      <x:c r="P97" s="29" t="str">
        <x:v>What did this person or organisation learn in Ukraine after 2022; what worked, what failed, and what is transferable?</x:v>
      </x:c>
      <x:c r="Q97" s="29"/>
    </x:row>
    <x:row r="98">
      <x:c r="A98" s="30" t="n">
        <x:v>94</x:v>
      </x:c>
      <x:c r="B98" s="29" t="str">
        <x:v>Oleksandr Ionin</x:v>
      </x:c>
      <x:c r="C98" s="29" t="str">
        <x:v>Riley Risk</x:v>
      </x:c>
      <x:c r="D98" s="29" t="str">
        <x:v>Country Security Adviser</x:v>
      </x:c>
      <x:c r="E98" s="29" t="str">
        <x:v>Security / risk / resilience</x:v>
      </x:c>
      <x:c r="F98" s="29" t="str">
        <x:v>Country risk, security analysis and operational reporting</x:v>
      </x:c>
      <x:c r="G98" s="29" t="str">
        <x:v>Contributes to Ukraine situation and country-access reporting; the most detailed documents found were third-party copies and should be validated with Riley Risk.</x:v>
      </x:c>
      <x:c r="H98" s="29" t="str">
        <x:v>Public professional role; case material requires source validation</x:v>
      </x:c>
      <x:c r="I98" s="29" t="str">
        <x:v>Analyst speaker; briefing contributor; case-study author</x:v>
      </x:c>
      <x:c r="J98" s="29" t="str">
        <x:v>Institutional partner candidate</x:v>
      </x:c>
      <x:c r="K98" s="29" t="str">
        <x:v>Converting a fast-moving threat picture into operational decisions</x:v>
      </x:c>
      <x:c r="L98" s="29" t="str">
        <x:v>Country-risk reporting and decision support in active conflict</x:v>
      </x:c>
      <x:c r="M98" s="29" t="str">
        <x:v>Public research completed; interview and consent required</x:v>
      </x:c>
      <x:c r="N98" s="29" t="str">
        <x:v>Not requested</x:v>
      </x:c>
      <x:c r="O98" s="29" t="str">
        <x:v>Human review and permission required before publication</x:v>
      </x:c>
      <x:c r="P98" s="29" t="str">
        <x:v>Which indicators are most useful for clients, and which create false confidence?</x:v>
      </x:c>
      <x:c r="Q98" s="29" t="str">
        <x:v>https://ua.linkedin.com/in/oleksandr-ionin-225aa61b4</x:v>
      </x:c>
    </x:row>
    <x:row r="99">
      <x:c r="A99" s="30" t="n">
        <x:v>95</x:v>
      </x:c>
      <x:c r="B99" s="29" t="str">
        <x:v>Oksana Davydenko</x:v>
      </x:c>
      <x:c r="C99" s="29" t="str">
        <x:v>Starlight Media</x:v>
      </x:c>
      <x:c r="D99" s="29" t="str">
        <x:v>Deputy Director for Legal Affairs (public match)</x:v>
      </x:c>
      <x:c r="E99" s="29" t="str">
        <x:v>Legal / governance / institutions</x:v>
      </x:c>
      <x:c r="F99" s="29" t="str">
        <x:v>Governance, legal risk and institutional resilience</x:v>
      </x:c>
      <x:c r="G99" s="29" t="str">
        <x:v>Governance and institutional continuity during war — verify</x:v>
      </x:c>
      <x:c r="H99" s="29" t="str">
        <x:v>Public source plus group data</x:v>
      </x:c>
      <x:c r="I99" s="29" t="str">
        <x:v>Speaker / interviewee / case-study contributor</x:v>
      </x:c>
      <x:c r="J99" s="29" t="str">
        <x:v>Member / participant</x:v>
      </x:c>
      <x:c r="K99" s="29" t="str">
        <x:v>Legal and institutional decision-making during prolonged crisis</x:v>
      </x:c>
      <x:c r="L99" s="29" t="str">
        <x:v>Potentially relevant internationally — verify through interview</x:v>
      </x:c>
      <x:c r="M99" s="29" t="str">
        <x:v>Probable profile; match requires verification</x:v>
      </x:c>
      <x:c r="N99" s="29" t="str">
        <x:v>Not requested</x:v>
      </x:c>
      <x:c r="O99" s="29" t="str">
        <x:v>Human review and permission required before publication</x:v>
      </x:c>
      <x:c r="P99" s="29" t="str">
        <x:v>What did this person or organisation learn in Ukraine after 2022; what worked, what failed, and what is transferable?</x:v>
      </x:c>
      <x:c r="Q99" s="29" t="str">
        <x:v>https://webportal.nrada.gov.ua/dvi-publichni-osoby-rf-stvoryuyut-zagrozu-natsbezpetsi-ukrayiny-zatverdzheno-sklad-kolegiyi-ekspertiv-rezultaty-zasidannya-vid-23-lypnya/</x:v>
      </x:c>
    </x:row>
    <x:row r="100">
      <x:c r="A100" s="30" t="n">
        <x:v>96</x:v>
      </x:c>
      <x:c r="B100" s="29" t="str">
        <x:v>Oleh Zasadnyi</x:v>
      </x:c>
      <x:c r="C100" s="29" t="str">
        <x:v>Public / project management sector</x:v>
      </x:c>
      <x:c r="D100" s="29" t="str">
        <x:v>Former Lviv Euro-2012 department director (public match)</x:v>
      </x:c>
      <x:c r="E100" s="29" t="str">
        <x:v>Business / advisory</x:v>
      </x:c>
      <x:c r="F100" s="29" t="str">
        <x:v>Leadership, advisory and business continuity</x:v>
      </x:c>
      <x:c r="G100" s="29" t="str">
        <x:v>Business continuity and leadership under disruption — verify</x:v>
      </x:c>
      <x:c r="H100" s="29" t="str">
        <x:v>Public source plus group data</x:v>
      </x:c>
      <x:c r="I100" s="29" t="str">
        <x:v>Speaker / interviewee / case-study contributor</x:v>
      </x:c>
      <x:c r="J100" s="29" t="str">
        <x:v>Connector / community multiplier</x:v>
      </x:c>
      <x:c r="K100" s="29" t="str">
        <x:v>How organisations continued operating during prolonged war</x:v>
      </x:c>
      <x:c r="L100" s="29" t="str">
        <x:v>Potentially relevant internationally — verify through interview</x:v>
      </x:c>
      <x:c r="M100" s="29" t="str">
        <x:v>Probable profile; match requires verification</x:v>
      </x:c>
      <x:c r="N100" s="29" t="str">
        <x:v>Not requested</x:v>
      </x:c>
      <x:c r="O100" s="29" t="str">
        <x:v>Human review and permission required before publication</x:v>
      </x:c>
      <x:c r="P100" s="29" t="str">
        <x:v>What did this person or organisation learn in Ukraine after 2022; what worked, what failed, and what is transferable?</x:v>
      </x:c>
      <x:c r="Q100" s="29" t="str">
        <x:v>https://portal.lviv.ua/exclusive/2010/04/26/165724</x:v>
      </x:c>
    </x:row>
    <x:row r="101">
      <x:c r="A101" s="30" t="n">
        <x:v>97</x:v>
      </x:c>
      <x:c r="B101" s="29" t="str">
        <x:v>Serhii Hrabskyi</x:v>
      </x:c>
      <x:c r="C101" s="29" t="str">
        <x:v>Independent / media</x:v>
      </x:c>
      <x:c r="D101" s="29" t="str">
        <x:v>Reserve Colonel and military-security commentator</x:v>
      </x:c>
      <x:c r="E101" s="29" t="str">
        <x:v>Media / communications</x:v>
      </x:c>
      <x:c r="F101" s="29" t="str">
        <x:v>Military analysis, force development and strategic communication</x:v>
      </x:c>
      <x:c r="G101" s="29" t="str">
        <x:v>Regular public analysis of mobilisation, weapons, campaign duration and operational adaptation in the full-scale war.</x:v>
      </x:c>
      <x:c r="H101" s="29" t="str">
        <x:v>Documented public Ukraine analysis</x:v>
      </x:c>
      <x:c r="I101" s="29" t="str">
        <x:v>Military-risk speaker; scenario contributor; analyst</x:v>
      </x:c>
      <x:c r="J101" s="29" t="str">
        <x:v>Connector / community multiplier</x:v>
      </x:c>
      <x:c r="K101" s="29" t="str">
        <x:v>Explaining prolonged, technology-intensive war to decision-makers and the public</x:v>
      </x:c>
      <x:c r="L101" s="29" t="str">
        <x:v>Force resilience, mobilisation and strategic communication</x:v>
      </x:c>
      <x:c r="M101" s="29" t="str">
        <x:v>Public research completed; interview and consent required</x:v>
      </x:c>
      <x:c r="N101" s="29" t="str">
        <x:v>Not requested</x:v>
      </x:c>
      <x:c r="O101" s="29" t="str">
        <x:v>Human review and permission required before publication</x:v>
      </x:c>
      <x:c r="P101" s="29" t="str">
        <x:v>Which public assumptions about the war most distort organisational risk planning?</x:v>
      </x:c>
      <x:c r="Q101" s="29" t="str">
        <x:v>https://newsukraine.rbc.ua/expert</x:v>
      </x:c>
    </x:row>
    <x:row r="102">
      <x:c r="A102" s="30" t="n">
        <x:v>98</x:v>
      </x:c>
      <x:c r="B102" s="29" t="str">
        <x:v>Serhii Hubiak</x:v>
      </x:c>
      <x:c r="C102" s="29" t="str">
        <x:v>Osprey Global Solutions Ukraine</x:v>
      </x:c>
      <x:c r="D102" s="29" t="str">
        <x:v>Chairman and co-founder</x:v>
      </x:c>
      <x:c r="E102" s="29" t="str">
        <x:v>To classify</x:v>
      </x:c>
      <x:c r="F102" s="29" t="str">
        <x:v>Legal-government affairs, public-private initiatives, demining and recovery programmes</x:v>
      </x:c>
      <x:c r="G102" s="29" t="str">
        <x:v>Co-leads a US–Ukraine initiative delivering training, EOD/demining, medical assistance, rehabilitation and recovery projects.</x:v>
      </x:c>
      <x:c r="H102" s="29" t="str">
        <x:v>Documented public Ukraine activity</x:v>
      </x:c>
      <x:c r="I102" s="29" t="str">
        <x:v>Institutional partner; speaker; legal/governance contributor</x:v>
      </x:c>
      <x:c r="J102" s="29" t="str">
        <x:v>Member / participant</x:v>
      </x:c>
      <x:c r="K102" s="29" t="str">
        <x:v>Building public-private delivery structures for recovery and demining</x:v>
      </x:c>
      <x:c r="L102" s="29" t="str">
        <x:v>Civil-military cooperation, EOD capacity and recovery governance</x:v>
      </x:c>
      <x:c r="M102" s="29" t="str">
        <x:v>Public research completed; interview and consent required</x:v>
      </x:c>
      <x:c r="N102" s="29" t="str">
        <x:v>Not requested</x:v>
      </x:c>
      <x:c r="O102" s="29" t="str">
        <x:v>Human review and permission required before publication</x:v>
      </x:c>
      <x:c r="P102" s="29" t="str">
        <x:v>What governance model best connects international expertise with Ukrainian ownership?</x:v>
      </x:c>
      <x:c r="Q102" s="29" t="str">
        <x:v>https://ogs-ua.fund/</x:v>
      </x:c>
    </x:row>
    <x:row r="103">
      <x:c r="A103" s="30" t="n">
        <x:v>99</x:v>
      </x:c>
      <x:c r="B103" s="29" t="str">
        <x:v>Yurii (surname unknown)</x:v>
      </x:c>
      <x:c r="C103" s="29" t="str">
        <x:v>GCS Ukraine</x:v>
      </x:c>
      <x:c r="D103" s="29" t="str">
        <x:v>Security Manager</x:v>
      </x:c>
      <x:c r="E103" s="29" t="str">
        <x:v>Security / risk / resilience</x:v>
      </x:c>
      <x:c r="F103" s="29" t="str">
        <x:v>Security, strategic risk and crisis management</x:v>
      </x:c>
      <x:c r="G103" s="29" t="str">
        <x:v>Security and risk operations in wartime — verify</x:v>
      </x:c>
      <x:c r="H103" s="29" t="str">
        <x:v>WhatsApp profile / group data only</x:v>
      </x:c>
      <x:c r="I103" s="29" t="str">
        <x:v>Speaker / interviewee / case-study contributor</x:v>
      </x:c>
      <x:c r="J103" s="29" t="str">
        <x:v>Member / participant</x:v>
      </x:c>
      <x:c r="K103" s="29" t="str">
        <x:v>What changed in security and risk management after 2022</x:v>
      </x:c>
      <x:c r="L103" s="29" t="str">
        <x:v>Potentially relevant internationally — verify through interview</x:v>
      </x:c>
      <x:c r="M103" s="29" t="str">
        <x:v>Role known; identity and experience require verification</x:v>
      </x:c>
      <x:c r="N103" s="29" t="str">
        <x:v>Not requested</x:v>
      </x:c>
      <x:c r="O103" s="29" t="str">
        <x:v>Human review and permission required before publication</x:v>
      </x:c>
      <x:c r="P103" s="29" t="str">
        <x:v>What did this person or organisation learn in Ukraine after 2022; what worked, what failed, and what is transferable?</x:v>
      </x:c>
      <x:c r="Q103" s="29"/>
    </x:row>
    <x:row r="104">
      <x:c r="A104" s="30" t="n">
        <x:v>100</x:v>
      </x:c>
      <x:c r="B104" s="29" t="str">
        <x:v>Unidentified number</x:v>
      </x:c>
      <x:c r="C104" s="29" t="str">
        <x:v>—</x:v>
      </x:c>
      <x:c r="D104" s="29" t="str">
        <x:v>—</x:v>
      </x:c>
      <x:c r="E104" s="29" t="str">
        <x:v>To classify</x:v>
      </x:c>
      <x:c r="F104" s="29" t="str">
        <x:v>To assess</x:v>
      </x:c>
      <x:c r="G104" s="29" t="str">
        <x:v>Ukraine-related experience — assess</x:v>
      </x:c>
      <x:c r="H104" s="29" t="str">
        <x:v>Group entry only</x:v>
      </x:c>
      <x:c r="I104" s="29" t="str">
        <x:v>To assess</x:v>
      </x:c>
      <x:c r="J104" s="29" t="str">
        <x:v>Member / participant</x:v>
      </x:c>
      <x:c r="K104" s="29" t="str">
        <x:v>Professional experience from Ukraine — topic to be defined</x:v>
      </x:c>
      <x:c r="L104" s="29" t="str">
        <x:v>To assess</x:v>
      </x:c>
      <x:c r="M104" s="29" t="str">
        <x:v>Not researched</x:v>
      </x:c>
      <x:c r="N104" s="29" t="str">
        <x:v>Not requested</x:v>
      </x:c>
      <x:c r="O104" s="29" t="str">
        <x:v>Human review and permission required before publication</x:v>
      </x:c>
      <x:c r="P104" s="29" t="str">
        <x:v>Who is this person, what is their current role, and should the record remain in the CRM?</x:v>
      </x:c>
      <x:c r="Q104" s="29"/>
    </x:row>
    <x:row r="105">
      <x:c r="A105" s="30" t="n">
        <x:v>101</x:v>
      </x:c>
      <x:c r="B105" s="29" t="str">
        <x:v>Unidentified number</x:v>
      </x:c>
      <x:c r="C105" s="29" t="str">
        <x:v>—</x:v>
      </x:c>
      <x:c r="D105" s="29" t="str">
        <x:v>—</x:v>
      </x:c>
      <x:c r="E105" s="29" t="str">
        <x:v>Business / advisory</x:v>
      </x:c>
      <x:c r="F105" s="29" t="str">
        <x:v>Leadership, advisory and business continuity</x:v>
      </x:c>
      <x:c r="G105" s="29" t="str">
        <x:v>Business continuity and leadership under disruption — verify</x:v>
      </x:c>
      <x:c r="H105" s="29" t="str">
        <x:v>WhatsApp profile / group data only</x:v>
      </x:c>
      <x:c r="I105" s="29" t="str">
        <x:v>To assess</x:v>
      </x:c>
      <x:c r="J105" s="29" t="str">
        <x:v>Member / participant</x:v>
      </x:c>
      <x:c r="K105" s="29" t="str">
        <x:v>How organisations continued operating during prolonged war</x:v>
      </x:c>
      <x:c r="L105" s="29" t="str">
        <x:v>Potentially relevant internationally — verify through interview</x:v>
      </x:c>
      <x:c r="M105" s="29" t="str">
        <x:v>Not researched</x:v>
      </x:c>
      <x:c r="N105" s="29" t="str">
        <x:v>Not requested</x:v>
      </x:c>
      <x:c r="O105" s="29" t="str">
        <x:v>Human review and permission required before publication</x:v>
      </x:c>
      <x:c r="P105" s="29" t="str">
        <x:v>Who is this person, what is their current role, and should the record remain in the CRM?</x:v>
      </x:c>
      <x:c r="Q105" s="29"/>
    </x:row>
    <x:row r="106">
      <x:c r="A106" s="30" t="n">
        <x:v>102</x:v>
      </x:c>
      <x:c r="B106" s="29" t="str">
        <x:v>Unidentified number</x:v>
      </x:c>
      <x:c r="C106" s="29" t="str">
        <x:v>—</x:v>
      </x:c>
      <x:c r="D106" s="29" t="str">
        <x:v>—</x:v>
      </x:c>
      <x:c r="E106" s="29" t="str">
        <x:v>To classify</x:v>
      </x:c>
      <x:c r="F106" s="29" t="str">
        <x:v>To assess</x:v>
      </x:c>
      <x:c r="G106" s="29" t="str">
        <x:v>Ukraine-related experience — assess</x:v>
      </x:c>
      <x:c r="H106" s="29" t="str">
        <x:v>Group entry only</x:v>
      </x:c>
      <x:c r="I106" s="29" t="str">
        <x:v>To assess</x:v>
      </x:c>
      <x:c r="J106" s="29" t="str">
        <x:v>Member / participant</x:v>
      </x:c>
      <x:c r="K106" s="29" t="str">
        <x:v>Professional experience from Ukraine — topic to be defined</x:v>
      </x:c>
      <x:c r="L106" s="29" t="str">
        <x:v>To assess</x:v>
      </x:c>
      <x:c r="M106" s="29" t="str">
        <x:v>Not researched</x:v>
      </x:c>
      <x:c r="N106" s="29" t="str">
        <x:v>Not requested</x:v>
      </x:c>
      <x:c r="O106" s="29" t="str">
        <x:v>Human review and permission required before publication</x:v>
      </x:c>
      <x:c r="P106" s="29" t="str">
        <x:v>Who is this person, what is their current role, and should the record remain in the CRM?</x:v>
      </x:c>
      <x:c r="Q106" s="29"/>
    </x:row>
    <x:row r="107">
      <x:c r="A107" s="30" t="n">
        <x:v>103</x:v>
      </x:c>
      <x:c r="B107" s="29" t="str">
        <x:v>Unidentified number</x:v>
      </x:c>
      <x:c r="C107" s="29" t="str">
        <x:v>—</x:v>
      </x:c>
      <x:c r="D107" s="29" t="str">
        <x:v>—</x:v>
      </x:c>
      <x:c r="E107" s="29" t="str">
        <x:v>To classify</x:v>
      </x:c>
      <x:c r="F107" s="29" t="str">
        <x:v>To assess</x:v>
      </x:c>
      <x:c r="G107" s="29" t="str">
        <x:v>Ukraine-related experience — assess</x:v>
      </x:c>
      <x:c r="H107" s="29" t="str">
        <x:v>Group entry only</x:v>
      </x:c>
      <x:c r="I107" s="29" t="str">
        <x:v>To assess</x:v>
      </x:c>
      <x:c r="J107" s="29" t="str">
        <x:v>Member / participant</x:v>
      </x:c>
      <x:c r="K107" s="29" t="str">
        <x:v>Professional experience from Ukraine — topic to be defined</x:v>
      </x:c>
      <x:c r="L107" s="29" t="str">
        <x:v>To assess</x:v>
      </x:c>
      <x:c r="M107" s="29" t="str">
        <x:v>Not researched</x:v>
      </x:c>
      <x:c r="N107" s="29" t="str">
        <x:v>Not requested</x:v>
      </x:c>
      <x:c r="O107" s="29" t="str">
        <x:v>Human review and permission required before publication</x:v>
      </x:c>
      <x:c r="P107" s="29" t="str">
        <x:v>Who is this person, what is their current role, and should the record remain in the CRM?</x:v>
      </x:c>
      <x:c r="Q107" s="29"/>
    </x:row>
    <x:row r="108">
      <x:c r="A108" s="30" t="n">
        <x:v>104</x:v>
      </x:c>
      <x:c r="B108" s="29" t="str">
        <x:v>Unidentified number</x:v>
      </x:c>
      <x:c r="C108" s="29" t="str">
        <x:v>—</x:v>
      </x:c>
      <x:c r="D108" s="29" t="str">
        <x:v>—</x:v>
      </x:c>
      <x:c r="E108" s="29" t="str">
        <x:v>To classify</x:v>
      </x:c>
      <x:c r="F108" s="29" t="str">
        <x:v>To assess</x:v>
      </x:c>
      <x:c r="G108" s="29" t="str">
        <x:v>Ukraine-related experience — assess</x:v>
      </x:c>
      <x:c r="H108" s="29" t="str">
        <x:v>Group entry only</x:v>
      </x:c>
      <x:c r="I108" s="29" t="str">
        <x:v>To assess</x:v>
      </x:c>
      <x:c r="J108" s="29" t="str">
        <x:v>Member / participant</x:v>
      </x:c>
      <x:c r="K108" s="29" t="str">
        <x:v>Professional experience from Ukraine — topic to be defined</x:v>
      </x:c>
      <x:c r="L108" s="29" t="str">
        <x:v>To assess</x:v>
      </x:c>
      <x:c r="M108" s="29" t="str">
        <x:v>Not researched</x:v>
      </x:c>
      <x:c r="N108" s="29" t="str">
        <x:v>Not requested</x:v>
      </x:c>
      <x:c r="O108" s="29" t="str">
        <x:v>Human review and permission required before publication</x:v>
      </x:c>
      <x:c r="P108" s="29" t="str">
        <x:v>Who is this person, what is their current role, and should the record remain in the CRM?</x:v>
      </x:c>
      <x:c r="Q108" s="29"/>
    </x:row>
    <x:row r="109">
      <x:c r="A109" s="30" t="n">
        <x:v>105</x:v>
      </x:c>
      <x:c r="B109" s="29" t="str">
        <x:v>Unidentified number</x:v>
      </x:c>
      <x:c r="C109" s="29" t="str">
        <x:v>—</x:v>
      </x:c>
      <x:c r="D109" s="29" t="str">
        <x:v>—</x:v>
      </x:c>
      <x:c r="E109" s="29" t="str">
        <x:v>To classify</x:v>
      </x:c>
      <x:c r="F109" s="29" t="str">
        <x:v>To assess</x:v>
      </x:c>
      <x:c r="G109" s="29" t="str">
        <x:v>Ukraine-related experience — assess</x:v>
      </x:c>
      <x:c r="H109" s="29" t="str">
        <x:v>Group entry only</x:v>
      </x:c>
      <x:c r="I109" s="29" t="str">
        <x:v>To assess</x:v>
      </x:c>
      <x:c r="J109" s="29" t="str">
        <x:v>Member / participant</x:v>
      </x:c>
      <x:c r="K109" s="29" t="str">
        <x:v>Professional experience from Ukraine — topic to be defined</x:v>
      </x:c>
      <x:c r="L109" s="29" t="str">
        <x:v>To assess</x:v>
      </x:c>
      <x:c r="M109" s="29" t="str">
        <x:v>Not researched</x:v>
      </x:c>
      <x:c r="N109" s="29" t="str">
        <x:v>Not requested</x:v>
      </x:c>
      <x:c r="O109" s="29" t="str">
        <x:v>Human review and permission required before publication</x:v>
      </x:c>
      <x:c r="P109" s="29" t="str">
        <x:v>Who is this person, what is their current role, and should the record remain in the CRM?</x:v>
      </x:c>
      <x:c r="Q109" s="29"/>
    </x:row>
    <x:row r="110">
      <x:c r="A110" s="30" t="n">
        <x:v>106</x:v>
      </x:c>
      <x:c r="B110" s="29" t="str">
        <x:v>Unidentified number</x:v>
      </x:c>
      <x:c r="C110" s="29" t="str">
        <x:v>—</x:v>
      </x:c>
      <x:c r="D110" s="29" t="str">
        <x:v>—</x:v>
      </x:c>
      <x:c r="E110" s="29" t="str">
        <x:v>To classify</x:v>
      </x:c>
      <x:c r="F110" s="29" t="str">
        <x:v>To assess</x:v>
      </x:c>
      <x:c r="G110" s="29" t="str">
        <x:v>Ukraine-related experience — assess</x:v>
      </x:c>
      <x:c r="H110" s="29" t="str">
        <x:v>Group entry only</x:v>
      </x:c>
      <x:c r="I110" s="29" t="str">
        <x:v>To assess</x:v>
      </x:c>
      <x:c r="J110" s="29" t="str">
        <x:v>Member / participant</x:v>
      </x:c>
      <x:c r="K110" s="29" t="str">
        <x:v>Professional experience from Ukraine — topic to be defined</x:v>
      </x:c>
      <x:c r="L110" s="29" t="str">
        <x:v>To assess</x:v>
      </x:c>
      <x:c r="M110" s="29" t="str">
        <x:v>Not researched</x:v>
      </x:c>
      <x:c r="N110" s="29" t="str">
        <x:v>Not requested</x:v>
      </x:c>
      <x:c r="O110" s="29" t="str">
        <x:v>Human review and permission required before publication</x:v>
      </x:c>
      <x:c r="P110" s="29" t="str">
        <x:v>Who is this person, what is their current role, and should the record remain in the CRM?</x:v>
      </x:c>
      <x:c r="Q110" s="29"/>
    </x:row>
    <x:row r="111">
      <x:c r="A111" s="30" t="n">
        <x:v>107</x:v>
      </x:c>
      <x:c r="B111" s="29" t="str">
        <x:v>Unidentified number</x:v>
      </x:c>
      <x:c r="C111" s="29" t="str">
        <x:v>—</x:v>
      </x:c>
      <x:c r="D111" s="29" t="str">
        <x:v>—</x:v>
      </x:c>
      <x:c r="E111" s="29" t="str">
        <x:v>To classify</x:v>
      </x:c>
      <x:c r="F111" s="29" t="str">
        <x:v>To assess</x:v>
      </x:c>
      <x:c r="G111" s="29" t="str">
        <x:v>Ukraine-related experience — assess</x:v>
      </x:c>
      <x:c r="H111" s="29" t="str">
        <x:v>Group entry only</x:v>
      </x:c>
      <x:c r="I111" s="29" t="str">
        <x:v>To assess</x:v>
      </x:c>
      <x:c r="J111" s="29" t="str">
        <x:v>Member / participant</x:v>
      </x:c>
      <x:c r="K111" s="29" t="str">
        <x:v>Professional experience from Ukraine — topic to be defined</x:v>
      </x:c>
      <x:c r="L111" s="29" t="str">
        <x:v>To assess</x:v>
      </x:c>
      <x:c r="M111" s="29" t="str">
        <x:v>Not researched</x:v>
      </x:c>
      <x:c r="N111" s="29" t="str">
        <x:v>Not requested</x:v>
      </x:c>
      <x:c r="O111" s="29" t="str">
        <x:v>Human review and permission required before publication</x:v>
      </x:c>
      <x:c r="P111" s="29" t="str">
        <x:v>Who is this person, what is their current role, and should the record remain in the CRM?</x:v>
      </x:c>
      <x:c r="Q111" s="29"/>
    </x:row>
    <x:row r="112">
      <x:c r="A112" s="30" t="n">
        <x:v>108</x:v>
      </x:c>
      <x:c r="B112" s="29" t="str">
        <x:v>Unidentified number</x:v>
      </x:c>
      <x:c r="C112" s="29" t="str">
        <x:v>—</x:v>
      </x:c>
      <x:c r="D112" s="29" t="str">
        <x:v>—</x:v>
      </x:c>
      <x:c r="E112" s="29" t="str">
        <x:v>To classify</x:v>
      </x:c>
      <x:c r="F112" s="29" t="str">
        <x:v>To assess</x:v>
      </x:c>
      <x:c r="G112" s="29" t="str">
        <x:v>Ukraine-related experience — assess</x:v>
      </x:c>
      <x:c r="H112" s="29" t="str">
        <x:v>Group entry only</x:v>
      </x:c>
      <x:c r="I112" s="29" t="str">
        <x:v>To assess</x:v>
      </x:c>
      <x:c r="J112" s="29" t="str">
        <x:v>Member / participant</x:v>
      </x:c>
      <x:c r="K112" s="29" t="str">
        <x:v>Professional experience from Ukraine — topic to be defined</x:v>
      </x:c>
      <x:c r="L112" s="29" t="str">
        <x:v>To assess</x:v>
      </x:c>
      <x:c r="M112" s="29" t="str">
        <x:v>Not researched</x:v>
      </x:c>
      <x:c r="N112" s="29" t="str">
        <x:v>Not requested</x:v>
      </x:c>
      <x:c r="O112" s="29" t="str">
        <x:v>Human review and permission required before publication</x:v>
      </x:c>
      <x:c r="P112" s="29" t="str">
        <x:v>Who is this person, what is their current role, and should the record remain in the CRM?</x:v>
      </x:c>
      <x:c r="Q112" s="29"/>
    </x:row>
    <x:row r="113">
      <x:c r="A113" s="30" t="n">
        <x:v>109</x:v>
      </x:c>
      <x:c r="B113" s="29" t="str">
        <x:v>Unidentified number</x:v>
      </x:c>
      <x:c r="C113" s="29" t="str">
        <x:v>—</x:v>
      </x:c>
      <x:c r="D113" s="29" t="str">
        <x:v>—</x:v>
      </x:c>
      <x:c r="E113" s="29" t="str">
        <x:v>To classify</x:v>
      </x:c>
      <x:c r="F113" s="29" t="str">
        <x:v>To assess</x:v>
      </x:c>
      <x:c r="G113" s="29" t="str">
        <x:v>Ukraine-related experience — assess</x:v>
      </x:c>
      <x:c r="H113" s="29" t="str">
        <x:v>Group entry only</x:v>
      </x:c>
      <x:c r="I113" s="29" t="str">
        <x:v>To assess</x:v>
      </x:c>
      <x:c r="J113" s="29" t="str">
        <x:v>Member / participant</x:v>
      </x:c>
      <x:c r="K113" s="29" t="str">
        <x:v>Professional experience from Ukraine — topic to be defined</x:v>
      </x:c>
      <x:c r="L113" s="29" t="str">
        <x:v>To assess</x:v>
      </x:c>
      <x:c r="M113" s="29" t="str">
        <x:v>Not researched</x:v>
      </x:c>
      <x:c r="N113" s="29" t="str">
        <x:v>Not requested</x:v>
      </x:c>
      <x:c r="O113" s="29" t="str">
        <x:v>Human review and permission required before publication</x:v>
      </x:c>
      <x:c r="P113" s="29" t="str">
        <x:v>Who is this person, what is their current role, and should the record remain in the CRM?</x:v>
      </x:c>
      <x:c r="Q113" s="29"/>
    </x:row>
    <x:row r="114">
      <x:c r="A114" s="30" t="n">
        <x:v>110</x:v>
      </x:c>
      <x:c r="B114" s="29" t="str">
        <x:v>Unidentified number</x:v>
      </x:c>
      <x:c r="C114" s="29" t="str">
        <x:v>—</x:v>
      </x:c>
      <x:c r="D114" s="29" t="str">
        <x:v>—</x:v>
      </x:c>
      <x:c r="E114" s="29" t="str">
        <x:v>To classify</x:v>
      </x:c>
      <x:c r="F114" s="29" t="str">
        <x:v>To assess</x:v>
      </x:c>
      <x:c r="G114" s="29" t="str">
        <x:v>Ukraine-related experience — assess</x:v>
      </x:c>
      <x:c r="H114" s="29" t="str">
        <x:v>Group entry only</x:v>
      </x:c>
      <x:c r="I114" s="29" t="str">
        <x:v>To assess</x:v>
      </x:c>
      <x:c r="J114" s="29" t="str">
        <x:v>Member / participant</x:v>
      </x:c>
      <x:c r="K114" s="29" t="str">
        <x:v>Professional experience from Ukraine — topic to be defined</x:v>
      </x:c>
      <x:c r="L114" s="29" t="str">
        <x:v>To assess</x:v>
      </x:c>
      <x:c r="M114" s="29" t="str">
        <x:v>Not researched</x:v>
      </x:c>
      <x:c r="N114" s="29" t="str">
        <x:v>Not requested</x:v>
      </x:c>
      <x:c r="O114" s="29" t="str">
        <x:v>Human review and permission required before publication</x:v>
      </x:c>
      <x:c r="P114" s="29" t="str">
        <x:v>Who is this person, what is their current role, and should the record remain in the CRM?</x:v>
      </x:c>
      <x:c r="Q114" s="29"/>
    </x:row>
    <x:row r="115">
      <x:c r="A115" s="30" t="n">
        <x:v>111</x:v>
      </x:c>
      <x:c r="B115" s="29" t="str">
        <x:v>Unidentified number</x:v>
      </x:c>
      <x:c r="C115" s="29" t="str">
        <x:v>—</x:v>
      </x:c>
      <x:c r="D115" s="29" t="str">
        <x:v>—</x:v>
      </x:c>
      <x:c r="E115" s="29" t="str">
        <x:v>To classify</x:v>
      </x:c>
      <x:c r="F115" s="29" t="str">
        <x:v>To assess</x:v>
      </x:c>
      <x:c r="G115" s="29" t="str">
        <x:v>Ukraine-related experience — assess</x:v>
      </x:c>
      <x:c r="H115" s="29" t="str">
        <x:v>Group entry only</x:v>
      </x:c>
      <x:c r="I115" s="29" t="str">
        <x:v>To assess</x:v>
      </x:c>
      <x:c r="J115" s="29" t="str">
        <x:v>Member / participant</x:v>
      </x:c>
      <x:c r="K115" s="29" t="str">
        <x:v>Professional experience from Ukraine — topic to be defined</x:v>
      </x:c>
      <x:c r="L115" s="29" t="str">
        <x:v>To assess</x:v>
      </x:c>
      <x:c r="M115" s="29" t="str">
        <x:v>Not researched</x:v>
      </x:c>
      <x:c r="N115" s="29" t="str">
        <x:v>Not requested</x:v>
      </x:c>
      <x:c r="O115" s="29" t="str">
        <x:v>Human review and permission required before publication</x:v>
      </x:c>
      <x:c r="P115" s="29" t="str">
        <x:v>Who is this person, what is their current role, and should the record remain in the CRM?</x:v>
      </x:c>
      <x:c r="Q115" s="29"/>
    </x:row>
    <x:row r="116">
      <x:c r="A116" s="30" t="n">
        <x:v>112</x:v>
      </x:c>
      <x:c r="B116" s="29" t="str">
        <x:v>Unidentified number</x:v>
      </x:c>
      <x:c r="C116" s="29" t="str">
        <x:v>—</x:v>
      </x:c>
      <x:c r="D116" s="29" t="str">
        <x:v>—</x:v>
      </x:c>
      <x:c r="E116" s="29" t="str">
        <x:v>To classify</x:v>
      </x:c>
      <x:c r="F116" s="29" t="str">
        <x:v>To assess</x:v>
      </x:c>
      <x:c r="G116" s="29" t="str">
        <x:v>Ukraine-related experience — assess</x:v>
      </x:c>
      <x:c r="H116" s="29" t="str">
        <x:v>Group entry only</x:v>
      </x:c>
      <x:c r="I116" s="29" t="str">
        <x:v>To assess</x:v>
      </x:c>
      <x:c r="J116" s="29" t="str">
        <x:v>Member / participant</x:v>
      </x:c>
      <x:c r="K116" s="29" t="str">
        <x:v>Professional experience from Ukraine — topic to be defined</x:v>
      </x:c>
      <x:c r="L116" s="29" t="str">
        <x:v>To assess</x:v>
      </x:c>
      <x:c r="M116" s="29" t="str">
        <x:v>Not researched</x:v>
      </x:c>
      <x:c r="N116" s="29" t="str">
        <x:v>Not requested</x:v>
      </x:c>
      <x:c r="O116" s="29" t="str">
        <x:v>Human review and permission required before publication</x:v>
      </x:c>
      <x:c r="P116" s="29" t="str">
        <x:v>Who is this person, what is their current role, and should the record remain in the CRM?</x:v>
      </x:c>
      <x:c r="Q116" s="29"/>
    </x:row>
    <x:row r="117">
      <x:c r="A117" s="30" t="n">
        <x:v>113</x:v>
      </x:c>
      <x:c r="B117" s="29" t="str">
        <x:v>Unidentified number</x:v>
      </x:c>
      <x:c r="C117" s="29" t="str">
        <x:v>—</x:v>
      </x:c>
      <x:c r="D117" s="29" t="str">
        <x:v>—</x:v>
      </x:c>
      <x:c r="E117" s="29" t="str">
        <x:v>To classify</x:v>
      </x:c>
      <x:c r="F117" s="29" t="str">
        <x:v>To assess</x:v>
      </x:c>
      <x:c r="G117" s="29" t="str">
        <x:v>Ukraine-related experience — assess</x:v>
      </x:c>
      <x:c r="H117" s="29" t="str">
        <x:v>Group entry only</x:v>
      </x:c>
      <x:c r="I117" s="29" t="str">
        <x:v>To assess</x:v>
      </x:c>
      <x:c r="J117" s="29" t="str">
        <x:v>Member / participant</x:v>
      </x:c>
      <x:c r="K117" s="29" t="str">
        <x:v>Professional experience from Ukraine — topic to be defined</x:v>
      </x:c>
      <x:c r="L117" s="29" t="str">
        <x:v>To assess</x:v>
      </x:c>
      <x:c r="M117" s="29" t="str">
        <x:v>Not researched</x:v>
      </x:c>
      <x:c r="N117" s="29" t="str">
        <x:v>Not requested</x:v>
      </x:c>
      <x:c r="O117" s="29" t="str">
        <x:v>Human review and permission required before publication</x:v>
      </x:c>
      <x:c r="P117" s="29" t="str">
        <x:v>Who is this person, what is their current role, and should the record remain in the CRM?</x:v>
      </x:c>
      <x:c r="Q117" s="29"/>
    </x:row>
    <x:row r="118">
      <x:c r="A118" s="30" t="n">
        <x:v>114</x:v>
      </x:c>
      <x:c r="B118" s="29" t="str">
        <x:v>Matt Fensom</x:v>
      </x:c>
      <x:c r="C118" s="29" t="str">
        <x:v>Independent / former UK military</x:v>
      </x:c>
      <x:c r="D118" s="29" t="str">
        <x:v>Former OF-5 UK military officer</x:v>
      </x:c>
      <x:c r="E118" s="29" t="str">
        <x:v>To classify</x:v>
      </x:c>
      <x:c r="F118" s="29" t="str">
        <x:v>To assess</x:v>
      </x:c>
      <x:c r="G118" s="29" t="str">
        <x:v>Ukraine-related experience — assess</x:v>
      </x:c>
      <x:c r="H118" s="29" t="str">
        <x:v>WhatsApp profile / group data only</x:v>
      </x:c>
      <x:c r="I118" s="29" t="str">
        <x:v>Speaker / interviewee / case-study contributor</x:v>
      </x:c>
      <x:c r="J118" s="29" t="str">
        <x:v>Connector / community multiplier</x:v>
      </x:c>
      <x:c r="K118" s="29" t="str">
        <x:v>Professional experience from Ukraine — topic to be defined</x:v>
      </x:c>
      <x:c r="L118" s="29" t="str">
        <x:v>To assess</x:v>
      </x:c>
      <x:c r="M118" s="29" t="str">
        <x:v>Identity stated; professional profile required</x:v>
      </x:c>
      <x:c r="N118" s="29" t="str">
        <x:v>Not requested</x:v>
      </x:c>
      <x:c r="O118" s="29" t="str">
        <x:v>Human review and permission required before publication</x:v>
      </x:c>
      <x:c r="P118" s="29" t="str">
        <x:v>What did this person or organisation learn in Ukraine after 2022; what worked, what failed, and what is transferable?</x:v>
      </x:c>
      <x:c r="Q118" s="29"/>
    </x:row>
    <x:row r="119">
      <x:c r="A119" s="30" t="n">
        <x:v>115</x:v>
      </x:c>
      <x:c r="B119" s="29" t="str">
        <x:v>Unidentified number</x:v>
      </x:c>
      <x:c r="C119" s="29" t="str">
        <x:v>—</x:v>
      </x:c>
      <x:c r="D119" s="29" t="str">
        <x:v>—</x:v>
      </x:c>
      <x:c r="E119" s="29" t="str">
        <x:v>To classify</x:v>
      </x:c>
      <x:c r="F119" s="29" t="str">
        <x:v>To assess</x:v>
      </x:c>
      <x:c r="G119" s="29" t="str">
        <x:v>Ukraine-related experience — assess</x:v>
      </x:c>
      <x:c r="H119" s="29" t="str">
        <x:v>Group entry only</x:v>
      </x:c>
      <x:c r="I119" s="29" t="str">
        <x:v>To assess</x:v>
      </x:c>
      <x:c r="J119" s="29" t="str">
        <x:v>Member / participant</x:v>
      </x:c>
      <x:c r="K119" s="29" t="str">
        <x:v>Professional experience from Ukraine — topic to be defined</x:v>
      </x:c>
      <x:c r="L119" s="29" t="str">
        <x:v>To assess</x:v>
      </x:c>
      <x:c r="M119" s="29" t="str">
        <x:v>Not researched</x:v>
      </x:c>
      <x:c r="N119" s="29" t="str">
        <x:v>Not requested</x:v>
      </x:c>
      <x:c r="O119" s="29" t="str">
        <x:v>Human review and permission required before publication</x:v>
      </x:c>
      <x:c r="P119" s="29" t="str">
        <x:v>Who is this person, what is their current role, and should the record remain in the CRM?</x:v>
      </x:c>
      <x:c r="Q119" s="29"/>
    </x:row>
    <x:row r="120">
      <x:c r="A120" s="30" t="n">
        <x:v>116</x:v>
      </x:c>
      <x:c r="B120" s="29" t="str">
        <x:v>Unidentified number</x:v>
      </x:c>
      <x:c r="C120" s="29" t="str">
        <x:v>—</x:v>
      </x:c>
      <x:c r="D120" s="29" t="str">
        <x:v>—</x:v>
      </x:c>
      <x:c r="E120" s="29" t="str">
        <x:v>To classify</x:v>
      </x:c>
      <x:c r="F120" s="29" t="str">
        <x:v>To assess</x:v>
      </x:c>
      <x:c r="G120" s="29" t="str">
        <x:v>Ukraine-related experience — assess</x:v>
      </x:c>
      <x:c r="H120" s="29" t="str">
        <x:v>Group entry only</x:v>
      </x:c>
      <x:c r="I120" s="29" t="str">
        <x:v>To assess</x:v>
      </x:c>
      <x:c r="J120" s="29" t="str">
        <x:v>Member / participant</x:v>
      </x:c>
      <x:c r="K120" s="29" t="str">
        <x:v>Professional experience from Ukraine — topic to be defined</x:v>
      </x:c>
      <x:c r="L120" s="29" t="str">
        <x:v>To assess</x:v>
      </x:c>
      <x:c r="M120" s="29" t="str">
        <x:v>Not researched</x:v>
      </x:c>
      <x:c r="N120" s="29" t="str">
        <x:v>Not requested</x:v>
      </x:c>
      <x:c r="O120" s="29" t="str">
        <x:v>Human review and permission required before publication</x:v>
      </x:c>
      <x:c r="P120" s="29" t="str">
        <x:v>Who is this person, what is their current role, and should the record remain in the CRM?</x:v>
      </x:c>
      <x:c r="Q120" s="29"/>
    </x:row>
    <x:row r="121">
      <x:c r="A121" s="30" t="n">
        <x:v>117</x:v>
      </x:c>
      <x:c r="B121" s="29" t="str">
        <x:v>Unidentified number</x:v>
      </x:c>
      <x:c r="C121" s="29" t="str">
        <x:v>—</x:v>
      </x:c>
      <x:c r="D121" s="29" t="str">
        <x:v>—</x:v>
      </x:c>
      <x:c r="E121" s="29" t="str">
        <x:v>To classify</x:v>
      </x:c>
      <x:c r="F121" s="29" t="str">
        <x:v>To assess</x:v>
      </x:c>
      <x:c r="G121" s="29" t="str">
        <x:v>Ukraine-related experience — assess</x:v>
      </x:c>
      <x:c r="H121" s="29" t="str">
        <x:v>Group entry only</x:v>
      </x:c>
      <x:c r="I121" s="29" t="str">
        <x:v>To assess</x:v>
      </x:c>
      <x:c r="J121" s="29" t="str">
        <x:v>Member / participant</x:v>
      </x:c>
      <x:c r="K121" s="29" t="str">
        <x:v>Professional experience from Ukraine — topic to be defined</x:v>
      </x:c>
      <x:c r="L121" s="29" t="str">
        <x:v>To assess</x:v>
      </x:c>
      <x:c r="M121" s="29" t="str">
        <x:v>Not researched</x:v>
      </x:c>
      <x:c r="N121" s="29" t="str">
        <x:v>Not requested</x:v>
      </x:c>
      <x:c r="O121" s="29" t="str">
        <x:v>Human review and permission required before publication</x:v>
      </x:c>
      <x:c r="P121" s="29" t="str">
        <x:v>Who is this person, what is their current role, and should the record remain in the CRM?</x:v>
      </x:c>
      <x:c r="Q121" s="29"/>
    </x:row>
    <x:row r="122">
      <x:c r="A122" s="30" t="n">
        <x:v>118</x:v>
      </x:c>
      <x:c r="B122" s="29" t="str">
        <x:v>Unidentified number</x:v>
      </x:c>
      <x:c r="C122" s="29" t="str">
        <x:v>—</x:v>
      </x:c>
      <x:c r="D122" s="29" t="str">
        <x:v>—</x:v>
      </x:c>
      <x:c r="E122" s="29" t="str">
        <x:v>To classify</x:v>
      </x:c>
      <x:c r="F122" s="29" t="str">
        <x:v>To assess</x:v>
      </x:c>
      <x:c r="G122" s="29" t="str">
        <x:v>Ukraine-related experience — assess</x:v>
      </x:c>
      <x:c r="H122" s="29" t="str">
        <x:v>Group entry only</x:v>
      </x:c>
      <x:c r="I122" s="29" t="str">
        <x:v>To assess</x:v>
      </x:c>
      <x:c r="J122" s="29" t="str">
        <x:v>Member / participant</x:v>
      </x:c>
      <x:c r="K122" s="29" t="str">
        <x:v>Professional experience from Ukraine — topic to be defined</x:v>
      </x:c>
      <x:c r="L122" s="29" t="str">
        <x:v>To assess</x:v>
      </x:c>
      <x:c r="M122" s="29" t="str">
        <x:v>Not researched</x:v>
      </x:c>
      <x:c r="N122" s="29" t="str">
        <x:v>Not requested</x:v>
      </x:c>
      <x:c r="O122" s="29" t="str">
        <x:v>Human review and permission required before publication</x:v>
      </x:c>
      <x:c r="P122" s="29" t="str">
        <x:v>Who is this person, what is their current role, and should the record remain in the CRM?</x:v>
      </x:c>
      <x:c r="Q122" s="29"/>
    </x:row>
    <x:row r="123">
      <x:c r="A123" s="30" t="n">
        <x:v>119</x:v>
      </x:c>
      <x:c r="B123" s="29" t="str">
        <x:v>Unidentified number</x:v>
      </x:c>
      <x:c r="C123" s="29" t="str">
        <x:v>—</x:v>
      </x:c>
      <x:c r="D123" s="29" t="str">
        <x:v>—</x:v>
      </x:c>
      <x:c r="E123" s="29" t="str">
        <x:v>To classify</x:v>
      </x:c>
      <x:c r="F123" s="29" t="str">
        <x:v>To assess</x:v>
      </x:c>
      <x:c r="G123" s="29" t="str">
        <x:v>Ukraine-related experience — assess</x:v>
      </x:c>
      <x:c r="H123" s="29" t="str">
        <x:v>Group entry only</x:v>
      </x:c>
      <x:c r="I123" s="29" t="str">
        <x:v>To assess</x:v>
      </x:c>
      <x:c r="J123" s="29" t="str">
        <x:v>Member / participant</x:v>
      </x:c>
      <x:c r="K123" s="29" t="str">
        <x:v>Professional experience from Ukraine — topic to be defined</x:v>
      </x:c>
      <x:c r="L123" s="29" t="str">
        <x:v>To assess</x:v>
      </x:c>
      <x:c r="M123" s="29" t="str">
        <x:v>Not researched</x:v>
      </x:c>
      <x:c r="N123" s="29" t="str">
        <x:v>Not requested</x:v>
      </x:c>
      <x:c r="O123" s="29" t="str">
        <x:v>Human review and permission required before publication</x:v>
      </x:c>
      <x:c r="P123" s="29" t="str">
        <x:v>Who is this person, what is their current role, and should the record remain in the CRM?</x:v>
      </x:c>
      <x:c r="Q123" s="29"/>
    </x:row>
    <x:row r="124">
      <x:c r="A124" s="30" t="n">
        <x:v>120</x:v>
      </x:c>
      <x:c r="B124" s="29" t="str">
        <x:v>Unidentified number</x:v>
      </x:c>
      <x:c r="C124" s="29" t="str">
        <x:v>—</x:v>
      </x:c>
      <x:c r="D124" s="29" t="str">
        <x:v>—</x:v>
      </x:c>
      <x:c r="E124" s="29" t="str">
        <x:v>To classify</x:v>
      </x:c>
      <x:c r="F124" s="29" t="str">
        <x:v>To assess</x:v>
      </x:c>
      <x:c r="G124" s="29" t="str">
        <x:v>Ukraine-related experience — assess</x:v>
      </x:c>
      <x:c r="H124" s="29" t="str">
        <x:v>Group entry only</x:v>
      </x:c>
      <x:c r="I124" s="29" t="str">
        <x:v>To assess</x:v>
      </x:c>
      <x:c r="J124" s="29" t="str">
        <x:v>Member / participant</x:v>
      </x:c>
      <x:c r="K124" s="29" t="str">
        <x:v>Professional experience from Ukraine — topic to be defined</x:v>
      </x:c>
      <x:c r="L124" s="29" t="str">
        <x:v>To assess</x:v>
      </x:c>
      <x:c r="M124" s="29" t="str">
        <x:v>Not researched</x:v>
      </x:c>
      <x:c r="N124" s="29" t="str">
        <x:v>Not requested</x:v>
      </x:c>
      <x:c r="O124" s="29" t="str">
        <x:v>Human review and permission required before publication</x:v>
      </x:c>
      <x:c r="P124" s="29" t="str">
        <x:v>Who is this person, what is their current role, and should the record remain in the CRM?</x:v>
      </x:c>
      <x:c r="Q124" s="29"/>
    </x:row>
    <x:row r="125">
      <x:c r="A125" s="30" t="n">
        <x:v>121</x:v>
      </x:c>
      <x:c r="B125" s="29" t="str">
        <x:v>Unidentified number</x:v>
      </x:c>
      <x:c r="C125" s="29" t="str">
        <x:v>—</x:v>
      </x:c>
      <x:c r="D125" s="29" t="str">
        <x:v>—</x:v>
      </x:c>
      <x:c r="E125" s="29" t="str">
        <x:v>To classify</x:v>
      </x:c>
      <x:c r="F125" s="29" t="str">
        <x:v>To assess</x:v>
      </x:c>
      <x:c r="G125" s="29" t="str">
        <x:v>Ukraine-related experience — assess</x:v>
      </x:c>
      <x:c r="H125" s="29" t="str">
        <x:v>Group entry only</x:v>
      </x:c>
      <x:c r="I125" s="29" t="str">
        <x:v>To assess</x:v>
      </x:c>
      <x:c r="J125" s="29" t="str">
        <x:v>Member / participant</x:v>
      </x:c>
      <x:c r="K125" s="29" t="str">
        <x:v>Professional experience from Ukraine — topic to be defined</x:v>
      </x:c>
      <x:c r="L125" s="29" t="str">
        <x:v>To assess</x:v>
      </x:c>
      <x:c r="M125" s="29" t="str">
        <x:v>Not researched</x:v>
      </x:c>
      <x:c r="N125" s="29" t="str">
        <x:v>Not requested</x:v>
      </x:c>
      <x:c r="O125" s="29" t="str">
        <x:v>Human review and permission required before publication</x:v>
      </x:c>
      <x:c r="P125" s="29" t="str">
        <x:v>Who is this person, what is their current role, and should the record remain in the CRM?</x:v>
      </x:c>
      <x:c r="Q125" s="29"/>
    </x:row>
    <x:row r="126">
      <x:c r="A126" s="30" t="n">
        <x:v>122</x:v>
      </x:c>
      <x:c r="B126" s="29" t="str">
        <x:v>Unidentified number</x:v>
      </x:c>
      <x:c r="C126" s="29" t="str">
        <x:v>—</x:v>
      </x:c>
      <x:c r="D126" s="29" t="str">
        <x:v>—</x:v>
      </x:c>
      <x:c r="E126" s="29" t="str">
        <x:v>To classify</x:v>
      </x:c>
      <x:c r="F126" s="29" t="str">
        <x:v>To assess</x:v>
      </x:c>
      <x:c r="G126" s="29" t="str">
        <x:v>Ukraine-related experience — assess</x:v>
      </x:c>
      <x:c r="H126" s="29" t="str">
        <x:v>Group entry only</x:v>
      </x:c>
      <x:c r="I126" s="29" t="str">
        <x:v>To assess</x:v>
      </x:c>
      <x:c r="J126" s="29" t="str">
        <x:v>Member / participant</x:v>
      </x:c>
      <x:c r="K126" s="29" t="str">
        <x:v>Professional experience from Ukraine — topic to be defined</x:v>
      </x:c>
      <x:c r="L126" s="29" t="str">
        <x:v>To assess</x:v>
      </x:c>
      <x:c r="M126" s="29" t="str">
        <x:v>Not researched</x:v>
      </x:c>
      <x:c r="N126" s="29" t="str">
        <x:v>Not requested</x:v>
      </x:c>
      <x:c r="O126" s="29" t="str">
        <x:v>Human review and permission required before publication</x:v>
      </x:c>
      <x:c r="P126" s="29" t="str">
        <x:v>Who is this person, what is their current role, and should the record remain in the CRM?</x:v>
      </x:c>
      <x:c r="Q126" s="29"/>
    </x:row>
    <x:row r="127">
      <x:c r="A127" s="30" t="n">
        <x:v>123</x:v>
      </x:c>
      <x:c r="B127" s="29" t="str">
        <x:v>Unidentified number</x:v>
      </x:c>
      <x:c r="C127" s="29" t="str">
        <x:v>—</x:v>
      </x:c>
      <x:c r="D127" s="29" t="str">
        <x:v>—</x:v>
      </x:c>
      <x:c r="E127" s="29" t="str">
        <x:v>To classify</x:v>
      </x:c>
      <x:c r="F127" s="29" t="str">
        <x:v>To assess</x:v>
      </x:c>
      <x:c r="G127" s="29" t="str">
        <x:v>Ukraine-related experience — assess</x:v>
      </x:c>
      <x:c r="H127" s="29" t="str">
        <x:v>Group entry only</x:v>
      </x:c>
      <x:c r="I127" s="29" t="str">
        <x:v>To assess</x:v>
      </x:c>
      <x:c r="J127" s="29" t="str">
        <x:v>Member / participant</x:v>
      </x:c>
      <x:c r="K127" s="29" t="str">
        <x:v>Professional experience from Ukraine — topic to be defined</x:v>
      </x:c>
      <x:c r="L127" s="29" t="str">
        <x:v>To assess</x:v>
      </x:c>
      <x:c r="M127" s="29" t="str">
        <x:v>Not researched</x:v>
      </x:c>
      <x:c r="N127" s="29" t="str">
        <x:v>Not requested</x:v>
      </x:c>
      <x:c r="O127" s="29" t="str">
        <x:v>Human review and permission required before publication</x:v>
      </x:c>
      <x:c r="P127" s="29" t="str">
        <x:v>Who is this person, what is their current role, and should the record remain in the CRM?</x:v>
      </x:c>
      <x:c r="Q127" s="29"/>
    </x:row>
    <x:row r="128">
      <x:c r="A128" s="30" t="n">
        <x:v>124</x:v>
      </x:c>
      <x:c r="B128" s="29" t="str">
        <x:v>Unidentified number</x:v>
      </x:c>
      <x:c r="C128" s="29" t="str">
        <x:v>—</x:v>
      </x:c>
      <x:c r="D128" s="29" t="str">
        <x:v>—</x:v>
      </x:c>
      <x:c r="E128" s="29" t="str">
        <x:v>To classify</x:v>
      </x:c>
      <x:c r="F128" s="29" t="str">
        <x:v>To assess</x:v>
      </x:c>
      <x:c r="G128" s="29" t="str">
        <x:v>Ukraine-related experience — assess</x:v>
      </x:c>
      <x:c r="H128" s="29" t="str">
        <x:v>Group entry only</x:v>
      </x:c>
      <x:c r="I128" s="29" t="str">
        <x:v>To assess</x:v>
      </x:c>
      <x:c r="J128" s="29" t="str">
        <x:v>Member / participant</x:v>
      </x:c>
      <x:c r="K128" s="29" t="str">
        <x:v>Professional experience from Ukraine — topic to be defined</x:v>
      </x:c>
      <x:c r="L128" s="29" t="str">
        <x:v>To assess</x:v>
      </x:c>
      <x:c r="M128" s="29" t="str">
        <x:v>Not researched</x:v>
      </x:c>
      <x:c r="N128" s="29" t="str">
        <x:v>Not requested</x:v>
      </x:c>
      <x:c r="O128" s="29" t="str">
        <x:v>Human review and permission required before publication</x:v>
      </x:c>
      <x:c r="P128" s="29" t="str">
        <x:v>Who is this person, what is their current role, and should the record remain in the CRM?</x:v>
      </x:c>
      <x:c r="Q128" s="29"/>
    </x:row>
    <x:row r="129">
      <x:c r="A129" s="30" t="n">
        <x:v>125</x:v>
      </x:c>
      <x:c r="B129" s="29" t="str">
        <x:v>Unidentified number</x:v>
      </x:c>
      <x:c r="C129" s="29" t="str">
        <x:v>—</x:v>
      </x:c>
      <x:c r="D129" s="29" t="str">
        <x:v>—</x:v>
      </x:c>
      <x:c r="E129" s="29" t="str">
        <x:v>To classify</x:v>
      </x:c>
      <x:c r="F129" s="29" t="str">
        <x:v>To assess</x:v>
      </x:c>
      <x:c r="G129" s="29" t="str">
        <x:v>Ukraine-related experience — assess</x:v>
      </x:c>
      <x:c r="H129" s="29" t="str">
        <x:v>Group entry only</x:v>
      </x:c>
      <x:c r="I129" s="29" t="str">
        <x:v>To assess</x:v>
      </x:c>
      <x:c r="J129" s="29" t="str">
        <x:v>Member / participant</x:v>
      </x:c>
      <x:c r="K129" s="29" t="str">
        <x:v>Professional experience from Ukraine — topic to be defined</x:v>
      </x:c>
      <x:c r="L129" s="29" t="str">
        <x:v>To assess</x:v>
      </x:c>
      <x:c r="M129" s="29" t="str">
        <x:v>Not researched</x:v>
      </x:c>
      <x:c r="N129" s="29" t="str">
        <x:v>Not requested</x:v>
      </x:c>
      <x:c r="O129" s="29" t="str">
        <x:v>Human review and permission required before publication</x:v>
      </x:c>
      <x:c r="P129" s="29" t="str">
        <x:v>Who is this person, what is their current role, and should the record remain in the CRM?</x:v>
      </x:c>
      <x:c r="Q129" s="29"/>
    </x:row>
    <x:row r="130">
      <x:c r="A130" s="30" t="n">
        <x:v>126</x:v>
      </x:c>
      <x:c r="B130" s="29" t="str">
        <x:v>Unidentified number</x:v>
      </x:c>
      <x:c r="C130" s="29" t="str">
        <x:v>—</x:v>
      </x:c>
      <x:c r="D130" s="29" t="str">
        <x:v>—</x:v>
      </x:c>
      <x:c r="E130" s="29" t="str">
        <x:v>To classify</x:v>
      </x:c>
      <x:c r="F130" s="29" t="str">
        <x:v>To assess</x:v>
      </x:c>
      <x:c r="G130" s="29" t="str">
        <x:v>Ukraine-related experience — assess</x:v>
      </x:c>
      <x:c r="H130" s="29" t="str">
        <x:v>Group entry only</x:v>
      </x:c>
      <x:c r="I130" s="29" t="str">
        <x:v>To assess</x:v>
      </x:c>
      <x:c r="J130" s="29" t="str">
        <x:v>Member / participant</x:v>
      </x:c>
      <x:c r="K130" s="29" t="str">
        <x:v>Professional experience from Ukraine — topic to be defined</x:v>
      </x:c>
      <x:c r="L130" s="29" t="str">
        <x:v>To assess</x:v>
      </x:c>
      <x:c r="M130" s="29" t="str">
        <x:v>Not researched</x:v>
      </x:c>
      <x:c r="N130" s="29" t="str">
        <x:v>Not requested</x:v>
      </x:c>
      <x:c r="O130" s="29" t="str">
        <x:v>Human review and permission required before publication</x:v>
      </x:c>
      <x:c r="P130" s="29" t="str">
        <x:v>Who is this person, what is their current role, and should the record remain in the CRM?</x:v>
      </x:c>
      <x:c r="Q130" s="29"/>
    </x:row>
    <x:row r="131">
      <x:c r="A131" s="30" t="n">
        <x:v>127</x:v>
      </x:c>
      <x:c r="B131" s="29" t="str">
        <x:v>Unidentified number</x:v>
      </x:c>
      <x:c r="C131" s="29" t="str">
        <x:v>—</x:v>
      </x:c>
      <x:c r="D131" s="29" t="str">
        <x:v>—</x:v>
      </x:c>
      <x:c r="E131" s="29" t="str">
        <x:v>To classify</x:v>
      </x:c>
      <x:c r="F131" s="29" t="str">
        <x:v>To assess</x:v>
      </x:c>
      <x:c r="G131" s="29" t="str">
        <x:v>Ukraine-related experience — assess</x:v>
      </x:c>
      <x:c r="H131" s="29" t="str">
        <x:v>Group entry only</x:v>
      </x:c>
      <x:c r="I131" s="29" t="str">
        <x:v>To assess</x:v>
      </x:c>
      <x:c r="J131" s="29" t="str">
        <x:v>Member / participant</x:v>
      </x:c>
      <x:c r="K131" s="29" t="str">
        <x:v>Professional experience from Ukraine — topic to be defined</x:v>
      </x:c>
      <x:c r="L131" s="29" t="str">
        <x:v>To assess</x:v>
      </x:c>
      <x:c r="M131" s="29" t="str">
        <x:v>Not researched</x:v>
      </x:c>
      <x:c r="N131" s="29" t="str">
        <x:v>Not requested</x:v>
      </x:c>
      <x:c r="O131" s="29" t="str">
        <x:v>Human review and permission required before publication</x:v>
      </x:c>
      <x:c r="P131" s="29" t="str">
        <x:v>Who is this person, what is their current role, and should the record remain in the CRM?</x:v>
      </x:c>
      <x:c r="Q131" s="29"/>
    </x:row>
    <x:row r="132">
      <x:c r="A132" s="30" t="n">
        <x:v>128</x:v>
      </x:c>
      <x:c r="B132" s="29" t="str">
        <x:v>Unidentified number</x:v>
      </x:c>
      <x:c r="C132" s="29" t="str">
        <x:v>—</x:v>
      </x:c>
      <x:c r="D132" s="29" t="str">
        <x:v>—</x:v>
      </x:c>
      <x:c r="E132" s="29" t="str">
        <x:v>To classify</x:v>
      </x:c>
      <x:c r="F132" s="29" t="str">
        <x:v>To assess</x:v>
      </x:c>
      <x:c r="G132" s="29" t="str">
        <x:v>Ukraine-related experience — assess</x:v>
      </x:c>
      <x:c r="H132" s="29" t="str">
        <x:v>Group entry only</x:v>
      </x:c>
      <x:c r="I132" s="29" t="str">
        <x:v>To assess</x:v>
      </x:c>
      <x:c r="J132" s="29" t="str">
        <x:v>Member / participant</x:v>
      </x:c>
      <x:c r="K132" s="29" t="str">
        <x:v>Professional experience from Ukraine — topic to be defined</x:v>
      </x:c>
      <x:c r="L132" s="29" t="str">
        <x:v>To assess</x:v>
      </x:c>
      <x:c r="M132" s="29" t="str">
        <x:v>Not researched</x:v>
      </x:c>
      <x:c r="N132" s="29" t="str">
        <x:v>Not requested</x:v>
      </x:c>
      <x:c r="O132" s="29" t="str">
        <x:v>Human review and permission required before publication</x:v>
      </x:c>
      <x:c r="P132" s="29" t="str">
        <x:v>Who is this person, what is their current role, and should the record remain in the CRM?</x:v>
      </x:c>
      <x:c r="Q132" s="29"/>
    </x:row>
    <x:row r="133">
      <x:c r="A133" s="30" t="n">
        <x:v>129</x:v>
      </x:c>
      <x:c r="B133" s="29" t="str">
        <x:v>Unidentified number</x:v>
      </x:c>
      <x:c r="C133" s="29" t="str">
        <x:v>—</x:v>
      </x:c>
      <x:c r="D133" s="29" t="str">
        <x:v>—</x:v>
      </x:c>
      <x:c r="E133" s="29" t="str">
        <x:v>To classify</x:v>
      </x:c>
      <x:c r="F133" s="29" t="str">
        <x:v>To assess</x:v>
      </x:c>
      <x:c r="G133" s="29" t="str">
        <x:v>Ukraine-related experience — assess</x:v>
      </x:c>
      <x:c r="H133" s="29" t="str">
        <x:v>Group entry only</x:v>
      </x:c>
      <x:c r="I133" s="29" t="str">
        <x:v>To assess</x:v>
      </x:c>
      <x:c r="J133" s="29" t="str">
        <x:v>Member / participant</x:v>
      </x:c>
      <x:c r="K133" s="29" t="str">
        <x:v>Professional experience from Ukraine — topic to be defined</x:v>
      </x:c>
      <x:c r="L133" s="29" t="str">
        <x:v>To assess</x:v>
      </x:c>
      <x:c r="M133" s="29" t="str">
        <x:v>Not researched</x:v>
      </x:c>
      <x:c r="N133" s="29" t="str">
        <x:v>Not requested</x:v>
      </x:c>
      <x:c r="O133" s="29" t="str">
        <x:v>Human review and permission required before publication</x:v>
      </x:c>
      <x:c r="P133" s="29" t="str">
        <x:v>Who is this person, what is their current role, and should the record remain in the CRM?</x:v>
      </x:c>
      <x:c r="Q133" s="29"/>
    </x:row>
    <x:row r="134">
      <x:c r="A134" s="30" t="n">
        <x:v>130</x:v>
      </x:c>
      <x:c r="B134" s="29" t="str">
        <x:v>Unidentified number</x:v>
      </x:c>
      <x:c r="C134" s="29" t="str">
        <x:v>—</x:v>
      </x:c>
      <x:c r="D134" s="29" t="str">
        <x:v>—</x:v>
      </x:c>
      <x:c r="E134" s="29" t="str">
        <x:v>To classify</x:v>
      </x:c>
      <x:c r="F134" s="29" t="str">
        <x:v>To assess</x:v>
      </x:c>
      <x:c r="G134" s="29" t="str">
        <x:v>Ukraine-related experience — assess</x:v>
      </x:c>
      <x:c r="H134" s="29" t="str">
        <x:v>Group entry only</x:v>
      </x:c>
      <x:c r="I134" s="29" t="str">
        <x:v>To assess</x:v>
      </x:c>
      <x:c r="J134" s="29" t="str">
        <x:v>Member / participant</x:v>
      </x:c>
      <x:c r="K134" s="29" t="str">
        <x:v>Professional experience from Ukraine — topic to be defined</x:v>
      </x:c>
      <x:c r="L134" s="29" t="str">
        <x:v>To assess</x:v>
      </x:c>
      <x:c r="M134" s="29" t="str">
        <x:v>Not researched</x:v>
      </x:c>
      <x:c r="N134" s="29" t="str">
        <x:v>Not requested</x:v>
      </x:c>
      <x:c r="O134" s="29" t="str">
        <x:v>Human review and permission required before publication</x:v>
      </x:c>
      <x:c r="P134" s="29" t="str">
        <x:v>Who is this person, what is their current role, and should the record remain in the CRM?</x:v>
      </x:c>
      <x:c r="Q134" s="29"/>
    </x:row>
    <x:row r="135">
      <x:c r="A135" s="30" t="n">
        <x:v>131</x:v>
      </x:c>
      <x:c r="B135" s="29" t="str">
        <x:v>Unidentified number</x:v>
      </x:c>
      <x:c r="C135" s="29" t="str">
        <x:v>—</x:v>
      </x:c>
      <x:c r="D135" s="29" t="str">
        <x:v>—</x:v>
      </x:c>
      <x:c r="E135" s="29" t="str">
        <x:v>To classify</x:v>
      </x:c>
      <x:c r="F135" s="29" t="str">
        <x:v>To assess</x:v>
      </x:c>
      <x:c r="G135" s="29" t="str">
        <x:v>Ukraine-related experience — assess</x:v>
      </x:c>
      <x:c r="H135" s="29" t="str">
        <x:v>Group entry only</x:v>
      </x:c>
      <x:c r="I135" s="29" t="str">
        <x:v>Chapter leadership / member mobilisation / editorial contributor</x:v>
      </x:c>
      <x:c r="J135" s="29" t="str">
        <x:v>Group administrator / community organiser</x:v>
      </x:c>
      <x:c r="K135" s="29" t="str">
        <x:v>Professional experience from Ukraine — topic to be defined</x:v>
      </x:c>
      <x:c r="L135" s="29" t="str">
        <x:v>To assess</x:v>
      </x:c>
      <x:c r="M135" s="29" t="str">
        <x:v>Not researched</x:v>
      </x:c>
      <x:c r="N135" s="29" t="str">
        <x:v>Not requested</x:v>
      </x:c>
      <x:c r="O135" s="29" t="str">
        <x:v>Human review and permission required before publication</x:v>
      </x:c>
      <x:c r="P135" s="29" t="str">
        <x:v>Who is this person, what is their current role, and should the record remain in the CRM?</x:v>
      </x:c>
      <x:c r="Q135" s="29"/>
    </x:row>
    <x:row r="136">
      <x:c r="A136" s="30" t="n">
        <x:v>132</x:v>
      </x:c>
      <x:c r="B136" s="29" t="str">
        <x:v>Unidentified number</x:v>
      </x:c>
      <x:c r="C136" s="29" t="str">
        <x:v>—</x:v>
      </x:c>
      <x:c r="D136" s="29" t="str">
        <x:v>—</x:v>
      </x:c>
      <x:c r="E136" s="29" t="str">
        <x:v>To classify</x:v>
      </x:c>
      <x:c r="F136" s="29" t="str">
        <x:v>To assess</x:v>
      </x:c>
      <x:c r="G136" s="29" t="str">
        <x:v>Ukraine-related experience — assess</x:v>
      </x:c>
      <x:c r="H136" s="29" t="str">
        <x:v>Group entry only</x:v>
      </x:c>
      <x:c r="I136" s="29" t="str">
        <x:v>To assess</x:v>
      </x:c>
      <x:c r="J136" s="29" t="str">
        <x:v>Member / participant</x:v>
      </x:c>
      <x:c r="K136" s="29" t="str">
        <x:v>Professional experience from Ukraine — topic to be defined</x:v>
      </x:c>
      <x:c r="L136" s="29" t="str">
        <x:v>To assess</x:v>
      </x:c>
      <x:c r="M136" s="29" t="str">
        <x:v>Not researched</x:v>
      </x:c>
      <x:c r="N136" s="29" t="str">
        <x:v>Not requested</x:v>
      </x:c>
      <x:c r="O136" s="29" t="str">
        <x:v>Human review and permission required before publication</x:v>
      </x:c>
      <x:c r="P136" s="29" t="str">
        <x:v>Who is this person, what is their current role, and should the record remain in the CRM?</x:v>
      </x:c>
      <x:c r="Q136" s="29"/>
    </x:row>
    <x:row r="137">
      <x:c r="A137" s="30" t="n">
        <x:v>133</x:v>
      </x:c>
      <x:c r="B137" s="29" t="str">
        <x:v>Unidentified number</x:v>
      </x:c>
      <x:c r="C137" s="29" t="str">
        <x:v>—</x:v>
      </x:c>
      <x:c r="D137" s="29" t="str">
        <x:v>—</x:v>
      </x:c>
      <x:c r="E137" s="29" t="str">
        <x:v>To classify</x:v>
      </x:c>
      <x:c r="F137" s="29" t="str">
        <x:v>To assess</x:v>
      </x:c>
      <x:c r="G137" s="29" t="str">
        <x:v>Ukraine-related experience — assess</x:v>
      </x:c>
      <x:c r="H137" s="29" t="str">
        <x:v>Group entry only</x:v>
      </x:c>
      <x:c r="I137" s="29" t="str">
        <x:v>To assess</x:v>
      </x:c>
      <x:c r="J137" s="29" t="str">
        <x:v>Member / participant</x:v>
      </x:c>
      <x:c r="K137" s="29" t="str">
        <x:v>Professional experience from Ukraine — topic to be defined</x:v>
      </x:c>
      <x:c r="L137" s="29" t="str">
        <x:v>To assess</x:v>
      </x:c>
      <x:c r="M137" s="29" t="str">
        <x:v>Not researched</x:v>
      </x:c>
      <x:c r="N137" s="29" t="str">
        <x:v>Not requested</x:v>
      </x:c>
      <x:c r="O137" s="29" t="str">
        <x:v>Human review and permission required before publication</x:v>
      </x:c>
      <x:c r="P137" s="29" t="str">
        <x:v>Who is this person, what is their current role, and should the record remain in the CRM?</x:v>
      </x:c>
      <x:c r="Q137" s="29"/>
    </x:row>
    <x:row r="138">
      <x:c r="A138" s="30" t="n">
        <x:v>134</x:v>
      </x:c>
      <x:c r="B138" s="29" t="str">
        <x:v>Unidentified number</x:v>
      </x:c>
      <x:c r="C138" s="29" t="str">
        <x:v>—</x:v>
      </x:c>
      <x:c r="D138" s="29" t="str">
        <x:v>—</x:v>
      </x:c>
      <x:c r="E138" s="29" t="str">
        <x:v>To classify</x:v>
      </x:c>
      <x:c r="F138" s="29" t="str">
        <x:v>To assess</x:v>
      </x:c>
      <x:c r="G138" s="29" t="str">
        <x:v>Ukraine-related experience — assess</x:v>
      </x:c>
      <x:c r="H138" s="29" t="str">
        <x:v>Group entry only</x:v>
      </x:c>
      <x:c r="I138" s="29" t="str">
        <x:v>To assess</x:v>
      </x:c>
      <x:c r="J138" s="29" t="str">
        <x:v>Member / participant</x:v>
      </x:c>
      <x:c r="K138" s="29" t="str">
        <x:v>Professional experience from Ukraine — topic to be defined</x:v>
      </x:c>
      <x:c r="L138" s="29" t="str">
        <x:v>To assess</x:v>
      </x:c>
      <x:c r="M138" s="29" t="str">
        <x:v>Not researched</x:v>
      </x:c>
      <x:c r="N138" s="29" t="str">
        <x:v>Not requested</x:v>
      </x:c>
      <x:c r="O138" s="29" t="str">
        <x:v>Human review and permission required before publication</x:v>
      </x:c>
      <x:c r="P138" s="29" t="str">
        <x:v>Who is this person, what is their current role, and should the record remain in the CRM?</x:v>
      </x:c>
      <x:c r="Q138" s="29"/>
    </x:row>
    <x:row r="139">
      <x:c r="A139" s="30" t="n">
        <x:v>135</x:v>
      </x:c>
      <x:c r="B139" s="29" t="str">
        <x:v>Unidentified number</x:v>
      </x:c>
      <x:c r="C139" s="29" t="str">
        <x:v>—</x:v>
      </x:c>
      <x:c r="D139" s="29" t="str">
        <x:v>—</x:v>
      </x:c>
      <x:c r="E139" s="29" t="str">
        <x:v>To classify</x:v>
      </x:c>
      <x:c r="F139" s="29" t="str">
        <x:v>To assess</x:v>
      </x:c>
      <x:c r="G139" s="29" t="str">
        <x:v>Ukraine-related experience — assess</x:v>
      </x:c>
      <x:c r="H139" s="29" t="str">
        <x:v>Group entry only</x:v>
      </x:c>
      <x:c r="I139" s="29" t="str">
        <x:v>To assess</x:v>
      </x:c>
      <x:c r="J139" s="29" t="str">
        <x:v>Member / participant</x:v>
      </x:c>
      <x:c r="K139" s="29" t="str">
        <x:v>Professional experience from Ukraine — topic to be defined</x:v>
      </x:c>
      <x:c r="L139" s="29" t="str">
        <x:v>To assess</x:v>
      </x:c>
      <x:c r="M139" s="29" t="str">
        <x:v>Not researched</x:v>
      </x:c>
      <x:c r="N139" s="29" t="str">
        <x:v>Not requested</x:v>
      </x:c>
      <x:c r="O139" s="29" t="str">
        <x:v>Human review and permission required before publication</x:v>
      </x:c>
      <x:c r="P139" s="29" t="str">
        <x:v>Who is this person, what is their current role, and should the record remain in the CRM?</x:v>
      </x:c>
      <x:c r="Q139" s="29"/>
    </x:row>
    <x:row r="140">
      <x:c r="A140" s="30" t="n">
        <x:v>136</x:v>
      </x:c>
      <x:c r="B140" s="29" t="str">
        <x:v>Unidentified number</x:v>
      </x:c>
      <x:c r="C140" s="29" t="str">
        <x:v>—</x:v>
      </x:c>
      <x:c r="D140" s="29" t="str">
        <x:v>—</x:v>
      </x:c>
      <x:c r="E140" s="29" t="str">
        <x:v>To classify</x:v>
      </x:c>
      <x:c r="F140" s="29" t="str">
        <x:v>To assess</x:v>
      </x:c>
      <x:c r="G140" s="29" t="str">
        <x:v>Ukraine-related experience — assess</x:v>
      </x:c>
      <x:c r="H140" s="29" t="str">
        <x:v>Group entry only</x:v>
      </x:c>
      <x:c r="I140" s="29" t="str">
        <x:v>To assess</x:v>
      </x:c>
      <x:c r="J140" s="29" t="str">
        <x:v>Member / participant</x:v>
      </x:c>
      <x:c r="K140" s="29" t="str">
        <x:v>Professional experience from Ukraine — topic to be defined</x:v>
      </x:c>
      <x:c r="L140" s="29" t="str">
        <x:v>To assess</x:v>
      </x:c>
      <x:c r="M140" s="29" t="str">
        <x:v>Not researched</x:v>
      </x:c>
      <x:c r="N140" s="29" t="str">
        <x:v>Not requested</x:v>
      </x:c>
      <x:c r="O140" s="29" t="str">
        <x:v>Human review and permission required before publication</x:v>
      </x:c>
      <x:c r="P140" s="29" t="str">
        <x:v>Who is this person, what is their current role, and should the record remain in the CRM?</x:v>
      </x:c>
      <x:c r="Q140" s="29"/>
    </x:row>
    <x:row r="141">
      <x:c r="A141" s="30" t="n">
        <x:v>137</x:v>
      </x:c>
      <x:c r="B141" s="29" t="str">
        <x:v>Unidentified number</x:v>
      </x:c>
      <x:c r="C141" s="29" t="str">
        <x:v>—</x:v>
      </x:c>
      <x:c r="D141" s="29" t="str">
        <x:v>—</x:v>
      </x:c>
      <x:c r="E141" s="29" t="str">
        <x:v>To classify</x:v>
      </x:c>
      <x:c r="F141" s="29" t="str">
        <x:v>To assess</x:v>
      </x:c>
      <x:c r="G141" s="29" t="str">
        <x:v>Ukraine-related experience — assess</x:v>
      </x:c>
      <x:c r="H141" s="29" t="str">
        <x:v>Group entry only</x:v>
      </x:c>
      <x:c r="I141" s="29" t="str">
        <x:v>To assess</x:v>
      </x:c>
      <x:c r="J141" s="29" t="str">
        <x:v>Member / participant</x:v>
      </x:c>
      <x:c r="K141" s="29" t="str">
        <x:v>Professional experience from Ukraine — topic to be defined</x:v>
      </x:c>
      <x:c r="L141" s="29" t="str">
        <x:v>To assess</x:v>
      </x:c>
      <x:c r="M141" s="29" t="str">
        <x:v>Not researched</x:v>
      </x:c>
      <x:c r="N141" s="29" t="str">
        <x:v>Not requested</x:v>
      </x:c>
      <x:c r="O141" s="29" t="str">
        <x:v>Human review and permission required before publication</x:v>
      </x:c>
      <x:c r="P141" s="29" t="str">
        <x:v>Who is this person, what is their current role, and should the record remain in the CRM?</x:v>
      </x:c>
      <x:c r="Q141" s="29"/>
    </x:row>
    <x:row r="142">
      <x:c r="A142" s="30" t="n">
        <x:v>138</x:v>
      </x:c>
      <x:c r="B142" s="29" t="str">
        <x:v>Anastasia (surname unknown)</x:v>
      </x:c>
      <x:c r="C142" s="29" t="str">
        <x:v>—</x:v>
      </x:c>
      <x:c r="D142" s="29" t="str">
        <x:v>—</x:v>
      </x:c>
      <x:c r="E142" s="29" t="str">
        <x:v>To classify</x:v>
      </x:c>
      <x:c r="F142" s="29" t="str">
        <x:v>To assess</x:v>
      </x:c>
      <x:c r="G142" s="29" t="str">
        <x:v>Ukraine-related experience — assess</x:v>
      </x:c>
      <x:c r="H142" s="29" t="str">
        <x:v>Group entry only</x:v>
      </x:c>
      <x:c r="I142" s="29" t="str">
        <x:v>To assess</x:v>
      </x:c>
      <x:c r="J142" s="29" t="str">
        <x:v>Member / participant</x:v>
      </x:c>
      <x:c r="K142" s="29" t="str">
        <x:v>Professional experience from Ukraine — topic to be defined</x:v>
      </x:c>
      <x:c r="L142" s="29" t="str">
        <x:v>To assess</x:v>
      </x:c>
      <x:c r="M142" s="29" t="str">
        <x:v>Not researched</x:v>
      </x:c>
      <x:c r="N142" s="29" t="str">
        <x:v>Not requested</x:v>
      </x:c>
      <x:c r="O142" s="29" t="str">
        <x:v>Human review and permission required before publication</x:v>
      </x:c>
      <x:c r="P142" s="29" t="str">
        <x:v>What did this person or organisation learn in Ukraine after 2022; what worked, what failed, and what is transferable?</x:v>
      </x:c>
      <x:c r="Q142" s="29"/>
    </x:row>
    <x:row r="143">
      <x:c r="A143" s="30" t="n">
        <x:v>139</x:v>
      </x:c>
      <x:c r="B143" s="29" t="str">
        <x:v>Anastasiya Marchuk</x:v>
      </x:c>
      <x:c r="C143" s="29" t="str">
        <x:v>Nonviolent Peaceforce Ukraine</x:v>
      </x:c>
      <x:c r="D143" s="29" t="str">
        <x:v>Head of Mission</x:v>
      </x:c>
      <x:c r="E143" s="29" t="str">
        <x:v>To classify</x:v>
      </x:c>
      <x:c r="F143" s="29" t="str">
        <x:v>Civilian protection, local humanitarian response and mission leadership</x:v>
      </x:c>
      <x:c r="G143" s="29" t="str">
        <x:v>Leads NP’s Ukraine mission; public cases include local protection, community assessment and rapid adaptation to drone threats through frequency analysers.</x:v>
      </x:c>
      <x:c r="H143" s="29" t="str">
        <x:v>Documented public Ukraine case</x:v>
      </x:c>
      <x:c r="I143" s="29" t="str">
        <x:v>Keynote speaker; case author; humanitarian partner</x:v>
      </x:c>
      <x:c r="J143" s="29" t="str">
        <x:v>Member / participant</x:v>
      </x:c>
      <x:c r="K143" s="29" t="str">
        <x:v>Locally led protection in a war where threats and humanitarian needs change together</x:v>
      </x:c>
      <x:c r="L143" s="29" t="str">
        <x:v>Unarmed civilian protection, localisation and adaptive mission leadership</x:v>
      </x:c>
      <x:c r="M143" s="29" t="str">
        <x:v>Public research completed; interview and consent required</x:v>
      </x:c>
      <x:c r="N143" s="29" t="str">
        <x:v>Not requested</x:v>
      </x:c>
      <x:c r="O143" s="29" t="str">
        <x:v>Human review and permission required before publication</x:v>
      </x:c>
      <x:c r="P143" s="29" t="str">
        <x:v>What have local Ukrainian partners taught international organisations about protection and decision speed?</x:v>
      </x:c>
      <x:c r="Q143" s="29" t="str">
        <x:v>https://nonviolentpeaceforce.org/ukraine/</x:v>
      </x:c>
    </x:row>
    <x:row r="144">
      <x:c r="A144" s="30" t="n">
        <x:v>140</x:v>
      </x:c>
      <x:c r="B144" s="29" t="str">
        <x:v>Anatolii (surname unknown)</x:v>
      </x:c>
      <x:c r="C144" s="29" t="str">
        <x:v>—</x:v>
      </x:c>
      <x:c r="D144" s="29" t="str">
        <x:v>—</x:v>
      </x:c>
      <x:c r="E144" s="29" t="str">
        <x:v>To classify</x:v>
      </x:c>
      <x:c r="F144" s="29" t="str">
        <x:v>To assess</x:v>
      </x:c>
      <x:c r="G144" s="29" t="str">
        <x:v>Ukraine-related experience — assess</x:v>
      </x:c>
      <x:c r="H144" s="29" t="str">
        <x:v>Group entry only</x:v>
      </x:c>
      <x:c r="I144" s="29" t="str">
        <x:v>To assess</x:v>
      </x:c>
      <x:c r="J144" s="29" t="str">
        <x:v>Member / participant</x:v>
      </x:c>
      <x:c r="K144" s="29" t="str">
        <x:v>Professional experience from Ukraine — topic to be defined</x:v>
      </x:c>
      <x:c r="L144" s="29" t="str">
        <x:v>To assess</x:v>
      </x:c>
      <x:c r="M144" s="29" t="str">
        <x:v>Not researched</x:v>
      </x:c>
      <x:c r="N144" s="29" t="str">
        <x:v>Not requested</x:v>
      </x:c>
      <x:c r="O144" s="29" t="str">
        <x:v>Human review and permission required before publication</x:v>
      </x:c>
      <x:c r="P144" s="29" t="str">
        <x:v>What did this person or organisation learn in Ukraine after 2022; what worked, what failed, and what is transferable?</x:v>
      </x:c>
      <x:c r="Q144" s="29"/>
    </x:row>
    <x:row r="145">
      <x:c r="A145" s="30" t="n">
        <x:v>141</x:v>
      </x:c>
      <x:c r="B145" s="29" t="str">
        <x:v>Andrii Lukashenko</x:v>
      </x:c>
      <x:c r="C145" s="29" t="str">
        <x:v>SmartRiskSolutions Ukraine / ISRM Ukraine</x:v>
      </x:c>
      <x:c r="D145" s="29" t="str">
        <x:v>Founder and Deputy Director; Chapter Vice-Chair</x:v>
      </x:c>
      <x:c r="E145" s="29" t="str">
        <x:v>Security / risk / resilience</x:v>
      </x:c>
      <x:c r="F145" s="29" t="str">
        <x:v>Security risk, crisis preparedness and resilience</x:v>
      </x:c>
      <x:c r="G145" s="29" t="str">
        <x:v>Over 30 years across military, diplomatic, international and private-sector settings; former OSCE SMM and Ukrainian Armed Forces; advises organisations in high-risk Ukraine.</x:v>
      </x:c>
      <x:c r="H145" s="29" t="str">
        <x:v>Official chapter biography and public professional profile</x:v>
      </x:c>
      <x:c r="I145" s="29" t="str">
        <x:v>Chapter leader; trainer; senior speaker; mentor</x:v>
      </x:c>
      <x:c r="J145" s="29" t="str">
        <x:v>Group administrator / community organiser</x:v>
      </x:c>
      <x:c r="K145" s="29" t="str">
        <x:v>Integrating military, diplomatic and private-sector risk practice</x:v>
      </x:c>
      <x:c r="L145" s="29" t="str">
        <x:v>Crisis preparedness and cross-sector resilience in high-risk markets</x:v>
      </x:c>
      <x:c r="M145" s="29" t="str">
        <x:v>Public research completed; interview and consent required</x:v>
      </x:c>
      <x:c r="N145" s="29" t="str">
        <x:v>Not requested</x:v>
      </x:c>
      <x:c r="O145" s="29" t="str">
        <x:v>Human review and permission required before publication</x:v>
      </x:c>
      <x:c r="P145" s="29" t="str">
        <x:v>Which cross-sector practices consistently improve preparedness, and which fail during real crises?</x:v>
      </x:c>
      <x:c r="Q145" s="29" t="str">
        <x:v>https://www.theisrm.org/isrm-announces-ukraine-chapter/</x:v>
      </x:c>
    </x:row>
    <x:row r="146">
      <x:c r="A146" s="30" t="n">
        <x:v>142</x:v>
      </x:c>
      <x:c r="B146" s="29" t="str">
        <x:v>Andrii S (surname unresolved)</x:v>
      </x:c>
      <x:c r="C146" s="29" t="str">
        <x:v>—</x:v>
      </x:c>
      <x:c r="D146" s="29" t="str">
        <x:v>—</x:v>
      </x:c>
      <x:c r="E146" s="29" t="str">
        <x:v>To classify</x:v>
      </x:c>
      <x:c r="F146" s="29" t="str">
        <x:v>To assess</x:v>
      </x:c>
      <x:c r="G146" s="29" t="str">
        <x:v>Ukraine-related experience — assess</x:v>
      </x:c>
      <x:c r="H146" s="29" t="str">
        <x:v>Group entry only</x:v>
      </x:c>
      <x:c r="I146" s="29" t="str">
        <x:v>To assess</x:v>
      </x:c>
      <x:c r="J146" s="29" t="str">
        <x:v>Member / participant</x:v>
      </x:c>
      <x:c r="K146" s="29" t="str">
        <x:v>Professional experience from Ukraine — topic to be defined</x:v>
      </x:c>
      <x:c r="L146" s="29" t="str">
        <x:v>To assess</x:v>
      </x:c>
      <x:c r="M146" s="29" t="str">
        <x:v>Identity stated; professional profile required</x:v>
      </x:c>
      <x:c r="N146" s="29" t="str">
        <x:v>Not requested</x:v>
      </x:c>
      <x:c r="O146" s="29" t="str">
        <x:v>Human review and permission required before publication</x:v>
      </x:c>
      <x:c r="P146" s="29" t="str">
        <x:v>What did this person or organisation learn in Ukraine after 2022; what worked, what failed, and what is transferable?</x:v>
      </x:c>
      <x:c r="Q146" s="29"/>
    </x:row>
    <x:row r="147">
      <x:c r="A147" s="30" t="n">
        <x:v>143</x:v>
      </x:c>
      <x:c r="B147" s="29" t="str">
        <x:v>Anja (surname unknown)</x:v>
      </x:c>
      <x:c r="C147" s="29" t="str">
        <x:v>—</x:v>
      </x:c>
      <x:c r="D147" s="29" t="str">
        <x:v>—</x:v>
      </x:c>
      <x:c r="E147" s="29" t="str">
        <x:v>To classify</x:v>
      </x:c>
      <x:c r="F147" s="29" t="str">
        <x:v>To assess</x:v>
      </x:c>
      <x:c r="G147" s="29" t="str">
        <x:v>Ukraine-related experience — assess</x:v>
      </x:c>
      <x:c r="H147" s="29" t="str">
        <x:v>Group entry only</x:v>
      </x:c>
      <x:c r="I147" s="29" t="str">
        <x:v>To assess</x:v>
      </x:c>
      <x:c r="J147" s="29" t="str">
        <x:v>Member / participant</x:v>
      </x:c>
      <x:c r="K147" s="29" t="str">
        <x:v>Professional experience from Ukraine — topic to be defined</x:v>
      </x:c>
      <x:c r="L147" s="29" t="str">
        <x:v>To assess</x:v>
      </x:c>
      <x:c r="M147" s="29" t="str">
        <x:v>Not researched</x:v>
      </x:c>
      <x:c r="N147" s="29" t="str">
        <x:v>Not requested</x:v>
      </x:c>
      <x:c r="O147" s="29" t="str">
        <x:v>Human review and permission required before publication</x:v>
      </x:c>
      <x:c r="P147" s="29" t="str">
        <x:v>What did this person or organisation learn in Ukraine after 2022; what worked, what failed, and what is transferable?</x:v>
      </x:c>
      <x:c r="Q147" s="29"/>
    </x:row>
    <x:row r="148">
      <x:c r="A148" s="30" t="n">
        <x:v>144</x:v>
      </x:c>
      <x:c r="B148" s="29" t="str">
        <x:v>Anya (surname unknown)</x:v>
      </x:c>
      <x:c r="C148" s="29" t="str">
        <x:v>—</x:v>
      </x:c>
      <x:c r="D148" s="29" t="str">
        <x:v>—</x:v>
      </x:c>
      <x:c r="E148" s="29" t="str">
        <x:v>To classify</x:v>
      </x:c>
      <x:c r="F148" s="29" t="str">
        <x:v>To assess</x:v>
      </x:c>
      <x:c r="G148" s="29" t="str">
        <x:v>Ukraine-related experience — assess</x:v>
      </x:c>
      <x:c r="H148" s="29" t="str">
        <x:v>Group entry only</x:v>
      </x:c>
      <x:c r="I148" s="29" t="str">
        <x:v>To assess</x:v>
      </x:c>
      <x:c r="J148" s="29" t="str">
        <x:v>Member / participant</x:v>
      </x:c>
      <x:c r="K148" s="29" t="str">
        <x:v>Professional experience from Ukraine — topic to be defined</x:v>
      </x:c>
      <x:c r="L148" s="29" t="str">
        <x:v>To assess</x:v>
      </x:c>
      <x:c r="M148" s="29" t="str">
        <x:v>Not researched</x:v>
      </x:c>
      <x:c r="N148" s="29" t="str">
        <x:v>Not requested</x:v>
      </x:c>
      <x:c r="O148" s="29" t="str">
        <x:v>Human review and permission required before publication</x:v>
      </x:c>
      <x:c r="P148" s="29" t="str">
        <x:v>What did this person or organisation learn in Ukraine after 2022; what worked, what failed, and what is transferable?</x:v>
      </x:c>
      <x:c r="Q148" s="29"/>
    </x:row>
    <x:row r="149">
      <x:c r="A149" s="30" t="n">
        <x:v>145</x:v>
      </x:c>
      <x:c r="B149" s="29" t="str">
        <x:v>Identity unresolved</x:v>
      </x:c>
      <x:c r="C149" s="29" t="str">
        <x:v>—</x:v>
      </x:c>
      <x:c r="D149" s="29" t="str">
        <x:v>—</x:v>
      </x:c>
      <x:c r="E149" s="29" t="str">
        <x:v>To classify</x:v>
      </x:c>
      <x:c r="F149" s="29" t="str">
        <x:v>To assess</x:v>
      </x:c>
      <x:c r="G149" s="29" t="str">
        <x:v>Ukraine-related experience — assess</x:v>
      </x:c>
      <x:c r="H149" s="29" t="str">
        <x:v>Group entry only</x:v>
      </x:c>
      <x:c r="I149" s="29" t="str">
        <x:v>To assess</x:v>
      </x:c>
      <x:c r="J149" s="29" t="str">
        <x:v>Member / participant</x:v>
      </x:c>
      <x:c r="K149" s="29" t="str">
        <x:v>Professional experience from Ukraine — topic to be defined</x:v>
      </x:c>
      <x:c r="L149" s="29" t="str">
        <x:v>To assess</x:v>
      </x:c>
      <x:c r="M149" s="29" t="str">
        <x:v>Not researched</x:v>
      </x:c>
      <x:c r="N149" s="29" t="str">
        <x:v>Not requested</x:v>
      </x:c>
      <x:c r="O149" s="29" t="str">
        <x:v>Human review and permission required before publication</x:v>
      </x:c>
      <x:c r="P149" s="29" t="str">
        <x:v>What did this person or organisation learn in Ukraine after 2022; what worked, what failed, and what is transferable?</x:v>
      </x:c>
      <x:c r="Q149" s="29"/>
    </x:row>
    <x:row r="150">
      <x:c r="A150" s="30" t="n">
        <x:v>146</x:v>
      </x:c>
      <x:c r="B150" s="29" t="str">
        <x:v>B.K (identity unresolved)</x:v>
      </x:c>
      <x:c r="C150" s="29" t="str">
        <x:v>—</x:v>
      </x:c>
      <x:c r="D150" s="29" t="str">
        <x:v>—</x:v>
      </x:c>
      <x:c r="E150" s="29" t="str">
        <x:v>To classify</x:v>
      </x:c>
      <x:c r="F150" s="29" t="str">
        <x:v>To assess</x:v>
      </x:c>
      <x:c r="G150" s="29" t="str">
        <x:v>Ukraine-related experience — assess</x:v>
      </x:c>
      <x:c r="H150" s="29" t="str">
        <x:v>Group entry only</x:v>
      </x:c>
      <x:c r="I150" s="29" t="str">
        <x:v>To assess</x:v>
      </x:c>
      <x:c r="J150" s="29" t="str">
        <x:v>Member / participant</x:v>
      </x:c>
      <x:c r="K150" s="29" t="str">
        <x:v>Professional experience from Ukraine — topic to be defined</x:v>
      </x:c>
      <x:c r="L150" s="29" t="str">
        <x:v>To assess</x:v>
      </x:c>
      <x:c r="M150" s="29" t="str">
        <x:v>Not researched</x:v>
      </x:c>
      <x:c r="N150" s="29" t="str">
        <x:v>Not requested</x:v>
      </x:c>
      <x:c r="O150" s="29" t="str">
        <x:v>Human review and permission required before publication</x:v>
      </x:c>
      <x:c r="P150" s="29" t="str">
        <x:v>What did this person or organisation learn in Ukraine after 2022; what worked, what failed, and what is transferable?</x:v>
      </x:c>
      <x:c r="Q150" s="29"/>
    </x:row>
    <x:row r="151">
      <x:c r="A151" s="30" t="n">
        <x:v>147</x:v>
      </x:c>
      <x:c r="B151" s="29" t="str">
        <x:v>Bogdan (surname unknown)</x:v>
      </x:c>
      <x:c r="C151" s="29" t="str">
        <x:v>SK Security</x:v>
      </x:c>
      <x:c r="D151" s="29" t="str">
        <x:v>Adviser</x:v>
      </x:c>
      <x:c r="E151" s="29" t="str">
        <x:v>Security / risk / resilience</x:v>
      </x:c>
      <x:c r="F151" s="29" t="str">
        <x:v>Security, strategic risk and crisis management</x:v>
      </x:c>
      <x:c r="G151" s="29" t="str">
        <x:v>Security and risk operations in wartime — verify</x:v>
      </x:c>
      <x:c r="H151" s="29" t="str">
        <x:v>WhatsApp profile / group data only</x:v>
      </x:c>
      <x:c r="I151" s="29" t="str">
        <x:v>Speaker / interviewee / case-study contributor</x:v>
      </x:c>
      <x:c r="J151" s="29" t="str">
        <x:v>Institutional partner candidate</x:v>
      </x:c>
      <x:c r="K151" s="29" t="str">
        <x:v>What changed in security and risk management after 2022</x:v>
      </x:c>
      <x:c r="L151" s="29" t="str">
        <x:v>Potentially relevant internationally — verify through interview</x:v>
      </x:c>
      <x:c r="M151" s="29" t="str">
        <x:v>Role known; identity and experience require verification</x:v>
      </x:c>
      <x:c r="N151" s="29" t="str">
        <x:v>Not requested</x:v>
      </x:c>
      <x:c r="O151" s="29" t="str">
        <x:v>Human review and permission required before publication</x:v>
      </x:c>
      <x:c r="P151" s="29" t="str">
        <x:v>What did this person or organisation learn in Ukraine after 2022; what worked, what failed, and what is transferable?</x:v>
      </x:c>
      <x:c r="Q151" s="29"/>
    </x:row>
    <x:row r="152">
      <x:c r="A152" s="30" t="n">
        <x:v>148</x:v>
      </x:c>
      <x:c r="B152" s="29" t="str">
        <x:v>Bogdan D (surname unresolved)</x:v>
      </x:c>
      <x:c r="C152" s="29" t="str">
        <x:v>—</x:v>
      </x:c>
      <x:c r="D152" s="29" t="str">
        <x:v>—</x:v>
      </x:c>
      <x:c r="E152" s="29" t="str">
        <x:v>To classify</x:v>
      </x:c>
      <x:c r="F152" s="29" t="str">
        <x:v>To assess</x:v>
      </x:c>
      <x:c r="G152" s="29" t="str">
        <x:v>Ukraine-related experience — assess</x:v>
      </x:c>
      <x:c r="H152" s="29" t="str">
        <x:v>Group entry only</x:v>
      </x:c>
      <x:c r="I152" s="29" t="str">
        <x:v>To assess</x:v>
      </x:c>
      <x:c r="J152" s="29" t="str">
        <x:v>Member / participant</x:v>
      </x:c>
      <x:c r="K152" s="29" t="str">
        <x:v>Professional experience from Ukraine — topic to be defined</x:v>
      </x:c>
      <x:c r="L152" s="29" t="str">
        <x:v>To assess</x:v>
      </x:c>
      <x:c r="M152" s="29" t="str">
        <x:v>Identity stated; professional profile required</x:v>
      </x:c>
      <x:c r="N152" s="29" t="str">
        <x:v>Not requested</x:v>
      </x:c>
      <x:c r="O152" s="29" t="str">
        <x:v>Human review and permission required before publication</x:v>
      </x:c>
      <x:c r="P152" s="29" t="str">
        <x:v>What did this person or organisation learn in Ukraine after 2022; what worked, what failed, and what is transferable?</x:v>
      </x:c>
      <x:c r="Q152" s="29"/>
    </x:row>
    <x:row r="153">
      <x:c r="A153" s="30" t="n">
        <x:v>149</x:v>
      </x:c>
      <x:c r="B153" s="29" t="str">
        <x:v>Brett (surname unknown)</x:v>
      </x:c>
      <x:c r="C153" s="29" t="str">
        <x:v>—</x:v>
      </x:c>
      <x:c r="D153" s="29" t="str">
        <x:v>—</x:v>
      </x:c>
      <x:c r="E153" s="29" t="str">
        <x:v>To classify</x:v>
      </x:c>
      <x:c r="F153" s="29" t="str">
        <x:v>To assess</x:v>
      </x:c>
      <x:c r="G153" s="29" t="str">
        <x:v>Ukraine-related experience — assess</x:v>
      </x:c>
      <x:c r="H153" s="29" t="str">
        <x:v>Group entry only</x:v>
      </x:c>
      <x:c r="I153" s="29" t="str">
        <x:v>To assess</x:v>
      </x:c>
      <x:c r="J153" s="29" t="str">
        <x:v>Member / participant</x:v>
      </x:c>
      <x:c r="K153" s="29" t="str">
        <x:v>Professional experience from Ukraine — topic to be defined</x:v>
      </x:c>
      <x:c r="L153" s="29" t="str">
        <x:v>To assess</x:v>
      </x:c>
      <x:c r="M153" s="29" t="str">
        <x:v>Not researched</x:v>
      </x:c>
      <x:c r="N153" s="29" t="str">
        <x:v>Not requested</x:v>
      </x:c>
      <x:c r="O153" s="29" t="str">
        <x:v>Human review and permission required before publication</x:v>
      </x:c>
      <x:c r="P153" s="29" t="str">
        <x:v>What did this person or organisation learn in Ukraine after 2022; what worked, what failed, and what is transferable?</x:v>
      </x:c>
      <x:c r="Q153" s="29"/>
    </x:row>
    <x:row r="154">
      <x:c r="A154" s="30" t="n">
        <x:v>150</x:v>
      </x:c>
      <x:c r="B154" s="29" t="str">
        <x:v>Camille Pajor</x:v>
      </x:c>
      <x:c r="C154" s="29" t="str">
        <x:v>Adapted Relief Collective</x:v>
      </x:c>
      <x:c r="D154" s="29" t="str">
        <x:v>Humanitarian professional</x:v>
      </x:c>
      <x:c r="E154" s="29" t="str">
        <x:v>Humanitarian / NGO</x:v>
      </x:c>
      <x:c r="F154" s="29" t="str">
        <x:v>Humanitarian response and locally adapted relief</x:v>
      </x:c>
      <x:c r="G154" s="29" t="str">
        <x:v>Public profile places the person and organisation in Ukraine, but no reliable detailed wartime case was found.</x:v>
      </x:c>
      <x:c r="H154" s="29" t="str">
        <x:v>Public professional profile; case interview required</x:v>
      </x:c>
      <x:c r="I154" s="29" t="str">
        <x:v>Practitioner interviewee; humanitarian contributor</x:v>
      </x:c>
      <x:c r="J154" s="29" t="str">
        <x:v>Member / participant</x:v>
      </x:c>
      <x:c r="K154" s="29" t="str">
        <x:v>Adapting relief models to local capacity and changing needs</x:v>
      </x:c>
      <x:c r="L154" s="29" t="str">
        <x:v>Locally adapted humanitarian delivery</x:v>
      </x:c>
      <x:c r="M154" s="29" t="str">
        <x:v>Public research completed; interview and consent required</x:v>
      </x:c>
      <x:c r="N154" s="29" t="str">
        <x:v>Not requested</x:v>
      </x:c>
      <x:c r="O154" s="29" t="str">
        <x:v>Human review and permission required before publication</x:v>
      </x:c>
      <x:c r="P154" s="29" t="str">
        <x:v>What has Adapted Relief Collective changed because conventional aid models did not fit Ukraine?</x:v>
      </x:c>
      <x:c r="Q154" s="29" t="str">
        <x:v>https://ua.linkedin.com/in/camillepajor</x:v>
      </x:c>
    </x:row>
    <x:row r="155">
      <x:c r="A155" s="30" t="n">
        <x:v>151</x:v>
      </x:c>
      <x:c r="B155" s="29" t="str">
        <x:v>Carl Robinson</x:v>
      </x:c>
      <x:c r="C155" s="29" t="str">
        <x:v>Oxfam Ukraine</x:v>
      </x:c>
      <x:c r="D155" s="29" t="str">
        <x:v>Country Safety and Security Coordinator</x:v>
      </x:c>
      <x:c r="E155" s="29" t="str">
        <x:v>Security / risk / resilience</x:v>
      </x:c>
      <x:c r="F155" s="29" t="str">
        <x:v>Humanitarian safety, security coordination and duty of care</x:v>
      </x:c>
      <x:c r="G155" s="29" t="str">
        <x:v>Public profile confirms country-level responsibility for staff safety and humanitarian operations in Ukraine since 2023.</x:v>
      </x:c>
      <x:c r="H155" s="29" t="str">
        <x:v>Documented public Ukraine role; detailed case interview required</x:v>
      </x:c>
      <x:c r="I155" s="29" t="str">
        <x:v>Practitioner speaker; case contributor; standards reviewer</x:v>
      </x:c>
      <x:c r="J155" s="29" t="str">
        <x:v>Member / participant</x:v>
      </x:c>
      <x:c r="K155" s="29" t="str">
        <x:v>Maintaining humanitarian access while protecting staff across a dispersed war zone</x:v>
      </x:c>
      <x:c r="L155" s="29" t="str">
        <x:v>Country security systems for large humanitarian organisations</x:v>
      </x:c>
      <x:c r="M155" s="29" t="str">
        <x:v>Public research completed; interview and consent required</x:v>
      </x:c>
      <x:c r="N155" s="29" t="str">
        <x:v>Not requested</x:v>
      </x:c>
      <x:c r="O155" s="29" t="str">
        <x:v>Human review and permission required before publication</x:v>
      </x:c>
      <x:c r="P155" s="29" t="str">
        <x:v>Which security controls protect people without unnecessarily restricting programme delivery?</x:v>
      </x:c>
      <x:c r="Q155" s="29" t="str">
        <x:v>https://hk.linkedin.com/in/carl-robinson-ba91b920</x:v>
      </x:c>
    </x:row>
    <x:row r="156">
      <x:c r="A156" s="30" t="n">
        <x:v>152</x:v>
      </x:c>
      <x:c r="B156" s="29" t="str">
        <x:v>Cassie Blackett-Ord</x:v>
      </x:c>
      <x:c r="C156" s="29" t="str">
        <x:v>ActionAid International</x:v>
      </x:c>
      <x:c r="D156" s="29" t="str">
        <x:v>Global Security Lead; INSSA Board Chair</x:v>
      </x:c>
      <x:c r="E156" s="29" t="str">
        <x:v>Humanitarian / NGO</x:v>
      </x:c>
      <x:c r="F156" s="29" t="str">
        <x:v>Humanitarian security, crisis management and sector standards</x:v>
      </x:c>
      <x:c r="G156" s="29" t="str">
        <x:v>Public activity links her to ActionAid’s Eastern Europe/Ukraine operating context and to debate on drone warfare and duty of care.</x:v>
      </x:c>
      <x:c r="H156" s="29" t="str">
        <x:v>Documented public professional activity; Ukraine case interview required</x:v>
      </x:c>
      <x:c r="I156" s="29" t="str">
        <x:v>Senior speaker; standards partner; training adviser</x:v>
      </x:c>
      <x:c r="J156" s="29" t="str">
        <x:v>Member / participant</x:v>
      </x:c>
      <x:c r="K156" s="29" t="str">
        <x:v>How humanitarian security standards must evolve with drone warfare</x:v>
      </x:c>
      <x:c r="L156" s="29" t="str">
        <x:v>Global duty-of-care policy and practitioner standards</x:v>
      </x:c>
      <x:c r="M156" s="29" t="str">
        <x:v>Public research completed; interview and consent required</x:v>
      </x:c>
      <x:c r="N156" s="29" t="str">
        <x:v>Not requested</x:v>
      </x:c>
      <x:c r="O156" s="29" t="str">
        <x:v>Human review and permission required before publication</x:v>
      </x:c>
      <x:c r="P156" s="29" t="str">
        <x:v>What does Ukraine reveal that global humanitarian security standards have not yet absorbed?</x:v>
      </x:c>
      <x:c r="Q156" s="29" t="str">
        <x:v>https://www.linkedin.com/posts/cassie-blackett-ord-906398102_drone-warfare-is-tragically-transforming-activity-7447293484170035200-yZnO</x:v>
      </x:c>
    </x:row>
    <x:row r="157">
      <x:c r="A157" s="30" t="n">
        <x:v>153</x:v>
      </x:c>
      <x:c r="B157" s="29" t="str">
        <x:v>Charlie Hutchinson</x:v>
      </x:c>
      <x:c r="C157" s="29" t="str">
        <x:v>Spearfish Security</x:v>
      </x:c>
      <x:c r="D157" s="29" t="str">
        <x:v>Ukraine and Eastern Europe Regional Manager</x:v>
      </x:c>
      <x:c r="E157" s="29" t="str">
        <x:v>Security / risk / resilience</x:v>
      </x:c>
      <x:c r="F157" s="29" t="str">
        <x:v>Security-risk management, high-risk training and operational reporting</x:v>
      </x:c>
      <x:c r="G157" s="29" t="str">
        <x:v>Resident in Ukraine since 2015; delivers journey management, Ukraine-specific HEAT, drone/rail threat reporting and practical support for organisations.</x:v>
      </x:c>
      <x:c r="H157" s="29" t="str">
        <x:v>Documented public Ukraine case</x:v>
      </x:c>
      <x:c r="I157" s="29" t="str">
        <x:v>Trainer; practitioner speaker; case-study author</x:v>
      </x:c>
      <x:c r="J157" s="29" t="str">
        <x:v>Institutional partner candidate</x:v>
      </x:c>
      <x:c r="K157" s="29" t="str">
        <x:v>How travel, training and operational security changed under drones and infrastructure attacks</x:v>
      </x:c>
      <x:c r="L157" s="29" t="str">
        <x:v>High-risk travel, HEAT design and real-time operational support</x:v>
      </x:c>
      <x:c r="M157" s="29" t="str">
        <x:v>Public research completed; interview and consent required</x:v>
      </x:c>
      <x:c r="N157" s="29" t="str">
        <x:v>Not requested</x:v>
      </x:c>
      <x:c r="O157" s="29" t="str">
        <x:v>Human review and permission required before publication</x:v>
      </x:c>
      <x:c r="P157" s="29" t="str">
        <x:v>Which Ukraine threat adaptations should immediately change global HEAT and journey-management curricula?</x:v>
      </x:c>
      <x:c r="Q157" s="29" t="str">
        <x:v>https://spear-fish.com/about/</x:v>
      </x:c>
    </x:row>
    <x:row r="158">
      <x:c r="A158" s="30" t="n">
        <x:v>154</x:v>
      </x:c>
      <x:c r="B158" s="29" t="str">
        <x:v>Chris MacLeod (probable)</x:v>
      </x:c>
      <x:c r="C158" s="29" t="str">
        <x:v>Independent; formerly World Vision (public match)</x:v>
      </x:c>
      <x:c r="D158" s="29" t="str">
        <x:v>Security professional / freelancer</x:v>
      </x:c>
      <x:c r="E158" s="29" t="str">
        <x:v>Security / risk / resilience</x:v>
      </x:c>
      <x:c r="F158" s="29" t="str">
        <x:v>Security, strategic risk and crisis management</x:v>
      </x:c>
      <x:c r="G158" s="29" t="str">
        <x:v>Security and risk operations in wartime — verify</x:v>
      </x:c>
      <x:c r="H158" s="29" t="str">
        <x:v>WhatsApp profile / group data only</x:v>
      </x:c>
      <x:c r="I158" s="29" t="str">
        <x:v>To assess</x:v>
      </x:c>
      <x:c r="J158" s="29" t="str">
        <x:v>Institutional partner candidate</x:v>
      </x:c>
      <x:c r="K158" s="29" t="str">
        <x:v>What changed in security and risk management after 2022</x:v>
      </x:c>
      <x:c r="L158" s="29" t="str">
        <x:v>Potentially relevant internationally — verify through interview</x:v>
      </x:c>
      <x:c r="M158" s="29" t="str">
        <x:v>Probable profile; match requires verification</x:v>
      </x:c>
      <x:c r="N158" s="29" t="str">
        <x:v>Not requested</x:v>
      </x:c>
      <x:c r="O158" s="29" t="str">
        <x:v>Human review and permission required before publication</x:v>
      </x:c>
      <x:c r="P158" s="29" t="str">
        <x:v>What did this person or organisation learn in Ukraine after 2022; what worked, what failed, and what is transferable?</x:v>
      </x:c>
      <x:c r="Q158" s="29"/>
    </x:row>
    <x:row r="159">
      <x:c r="A159" s="30" t="n">
        <x:v>155</x:v>
      </x:c>
      <x:c r="B159" s="29" t="str">
        <x:v>Christian (surname unknown)</x:v>
      </x:c>
      <x:c r="C159" s="29" t="str">
        <x:v>ISRM Ukraine</x:v>
      </x:c>
      <x:c r="D159" s="29" t="str">
        <x:v>Deputy Events &amp; Membership</x:v>
      </x:c>
      <x:c r="E159" s="29" t="str">
        <x:v>To classify</x:v>
      </x:c>
      <x:c r="F159" s="29" t="str">
        <x:v>To assess</x:v>
      </x:c>
      <x:c r="G159" s="29" t="str">
        <x:v>Ukraine-related experience — assess</x:v>
      </x:c>
      <x:c r="H159" s="29" t="str">
        <x:v>Public source plus group data</x:v>
      </x:c>
      <x:c r="I159" s="29" t="str">
        <x:v>Chapter leadership / member mobilisation / editorial contributor</x:v>
      </x:c>
      <x:c r="J159" s="29" t="str">
        <x:v>Group administrator / community organiser</x:v>
      </x:c>
      <x:c r="K159" s="29" t="str">
        <x:v>Professional experience from Ukraine — topic to be defined</x:v>
      </x:c>
      <x:c r="L159" s="29" t="str">
        <x:v>To assess</x:v>
      </x:c>
      <x:c r="M159" s="29" t="str">
        <x:v>Role known; identity and experience require verification</x:v>
      </x:c>
      <x:c r="N159" s="29" t="str">
        <x:v>Not requested</x:v>
      </x:c>
      <x:c r="O159" s="29" t="str">
        <x:v>Human review and permission required before publication</x:v>
      </x:c>
      <x:c r="P159" s="29" t="str">
        <x:v>What did this person or organisation learn in Ukraine after 2022; what worked, what failed, and what is transferable?</x:v>
      </x:c>
      <x:c r="Q159" s="29" t="str">
        <x:v>https://www.theisrm.org/international-chapters/ukraine-chapter/</x:v>
      </x:c>
    </x:row>
    <x:row r="160">
      <x:c r="A160" s="30" t="n">
        <x:v>156</x:v>
      </x:c>
      <x:c r="B160" s="29" t="str">
        <x:v>CP (identity unresolved)</x:v>
      </x:c>
      <x:c r="C160" s="29" t="str">
        <x:v>—</x:v>
      </x:c>
      <x:c r="D160" s="29" t="str">
        <x:v>—</x:v>
      </x:c>
      <x:c r="E160" s="29" t="str">
        <x:v>To classify</x:v>
      </x:c>
      <x:c r="F160" s="29" t="str">
        <x:v>To assess</x:v>
      </x:c>
      <x:c r="G160" s="29" t="str">
        <x:v>Ukraine-related experience — assess</x:v>
      </x:c>
      <x:c r="H160" s="29" t="str">
        <x:v>Group entry only</x:v>
      </x:c>
      <x:c r="I160" s="29" t="str">
        <x:v>To assess</x:v>
      </x:c>
      <x:c r="J160" s="29" t="str">
        <x:v>Member / participant</x:v>
      </x:c>
      <x:c r="K160" s="29" t="str">
        <x:v>Professional experience from Ukraine — topic to be defined</x:v>
      </x:c>
      <x:c r="L160" s="29" t="str">
        <x:v>To assess</x:v>
      </x:c>
      <x:c r="M160" s="29" t="str">
        <x:v>Not researched</x:v>
      </x:c>
      <x:c r="N160" s="29" t="str">
        <x:v>Not requested</x:v>
      </x:c>
      <x:c r="O160" s="29" t="str">
        <x:v>Human review and permission required before publication</x:v>
      </x:c>
      <x:c r="P160" s="29" t="str">
        <x:v>What did this person or organisation learn in Ukraine after 2022; what worked, what failed, and what is transferable?</x:v>
      </x:c>
      <x:c r="Q160" s="29"/>
    </x:row>
    <x:row r="161">
      <x:c r="A161" s="30" t="n">
        <x:v>157</x:v>
      </x:c>
      <x:c r="B161" s="29" t="str">
        <x:v>Damon Farrell</x:v>
      </x:c>
      <x:c r="C161" s="29" t="str">
        <x:v>Forward Global Markets / Forward UA</x:v>
      </x:c>
      <x:c r="D161" s="29" t="str">
        <x:v>Founder and CEO</x:v>
      </x:c>
      <x:c r="E161" s="29" t="str">
        <x:v>Business / advisory</x:v>
      </x:c>
      <x:c r="F161" s="29" t="str">
        <x:v>Trade infrastructure, export support and market access</x:v>
      </x:c>
      <x:c r="G161" s="29" t="str">
        <x:v>Building Forward UA to help Ukrainian enterprises access global markets and align trade facilitation with reconstruction initiatives.</x:v>
      </x:c>
      <x:c r="H161" s="29" t="str">
        <x:v>Documented public Ukraine activity</x:v>
      </x:c>
      <x:c r="I161" s="29" t="str">
        <x:v>Business speaker; reconstruction partner; economic-resilience contributor</x:v>
      </x:c>
      <x:c r="J161" s="29" t="str">
        <x:v>Member / participant</x:v>
      </x:c>
      <x:c r="K161" s="29" t="str">
        <x:v>Keeping Ukrainian SMEs connected to global trade during war and reconstruction</x:v>
      </x:c>
      <x:c r="L161" s="29" t="str">
        <x:v>Digital trade infrastructure and economic resilience</x:v>
      </x:c>
      <x:c r="M161" s="29" t="str">
        <x:v>Public research completed; interview and consent required</x:v>
      </x:c>
      <x:c r="N161" s="29" t="str">
        <x:v>Not requested</x:v>
      </x:c>
      <x:c r="O161" s="29" t="str">
        <x:v>Human review and permission required before publication</x:v>
      </x:c>
      <x:c r="P161" s="29" t="str">
        <x:v>Which trade bottlenecks are structural, and which can be removed through better digital and institutional design?</x:v>
      </x:c>
      <x:c r="Q161" s="29" t="str">
        <x:v>https://uk.linkedin.com/in/damon-kern-farrell-29a34983</x:v>
      </x:c>
    </x:row>
    <x:row r="162">
      <x:c r="A162" s="30" t="n">
        <x:v>158</x:v>
      </x:c>
      <x:c r="B162" s="29" t="str">
        <x:v>Daniel (surname unknown)</x:v>
      </x:c>
      <x:c r="C162" s="29" t="str">
        <x:v>—</x:v>
      </x:c>
      <x:c r="D162" s="29" t="str">
        <x:v>—</x:v>
      </x:c>
      <x:c r="E162" s="29" t="str">
        <x:v>To classify</x:v>
      </x:c>
      <x:c r="F162" s="29" t="str">
        <x:v>To assess</x:v>
      </x:c>
      <x:c r="G162" s="29" t="str">
        <x:v>Ukraine-related experience — assess</x:v>
      </x:c>
      <x:c r="H162" s="29" t="str">
        <x:v>Group entry only</x:v>
      </x:c>
      <x:c r="I162" s="29" t="str">
        <x:v>To assess</x:v>
      </x:c>
      <x:c r="J162" s="29" t="str">
        <x:v>Member / participant</x:v>
      </x:c>
      <x:c r="K162" s="29" t="str">
        <x:v>Professional experience from Ukraine — topic to be defined</x:v>
      </x:c>
      <x:c r="L162" s="29" t="str">
        <x:v>To assess</x:v>
      </x:c>
      <x:c r="M162" s="29" t="str">
        <x:v>Not researched</x:v>
      </x:c>
      <x:c r="N162" s="29" t="str">
        <x:v>Not requested</x:v>
      </x:c>
      <x:c r="O162" s="29" t="str">
        <x:v>Human review and permission required before publication</x:v>
      </x:c>
      <x:c r="P162" s="29" t="str">
        <x:v>What did this person or organisation learn in Ukraine after 2022; what worked, what failed, and what is transferable?</x:v>
      </x:c>
      <x:c r="Q162" s="29"/>
    </x:row>
    <x:row r="163">
      <x:c r="A163" s="30" t="n">
        <x:v>159</x:v>
      </x:c>
      <x:c r="B163" s="29" t="str">
        <x:v>Daria (surname unknown)</x:v>
      </x:c>
      <x:c r="C163" s="29" t="str">
        <x:v>—</x:v>
      </x:c>
      <x:c r="D163" s="29" t="str">
        <x:v>—</x:v>
      </x:c>
      <x:c r="E163" s="29" t="str">
        <x:v>To classify</x:v>
      </x:c>
      <x:c r="F163" s="29" t="str">
        <x:v>To assess</x:v>
      </x:c>
      <x:c r="G163" s="29" t="str">
        <x:v>Ukraine-related experience — assess</x:v>
      </x:c>
      <x:c r="H163" s="29" t="str">
        <x:v>Group entry only</x:v>
      </x:c>
      <x:c r="I163" s="29" t="str">
        <x:v>To assess</x:v>
      </x:c>
      <x:c r="J163" s="29" t="str">
        <x:v>Member / participant</x:v>
      </x:c>
      <x:c r="K163" s="29" t="str">
        <x:v>Professional experience from Ukraine — topic to be defined</x:v>
      </x:c>
      <x:c r="L163" s="29" t="str">
        <x:v>To assess</x:v>
      </x:c>
      <x:c r="M163" s="29" t="str">
        <x:v>Not researched</x:v>
      </x:c>
      <x:c r="N163" s="29" t="str">
        <x:v>Not requested</x:v>
      </x:c>
      <x:c r="O163" s="29" t="str">
        <x:v>Human review and permission required before publication</x:v>
      </x:c>
      <x:c r="P163" s="29" t="str">
        <x:v>What did this person or organisation learn in Ukraine after 2022; what worked, what failed, and what is transferable?</x:v>
      </x:c>
      <x:c r="Q163" s="29"/>
    </x:row>
    <x:row r="164">
      <x:c r="A164" s="30" t="n">
        <x:v>160</x:v>
      </x:c>
      <x:c r="B164" s="29" t="str">
        <x:v>David Plaster</x:v>
      </x:c>
      <x:c r="C164" s="29" t="str">
        <x:v>Anomaly / Kyiv Center for Defense Policy</x:v>
      </x:c>
      <x:c r="D164" s="29" t="str">
        <x:v>Founder and Chairman; co-founder</x:v>
      </x:c>
      <x:c r="E164" s="29" t="str">
        <x:v>Media / communications</x:v>
      </x:c>
      <x:c r="F164" s="29" t="str">
        <x:v>Combat medicine, medical preparedness and defence-policy support</x:v>
      </x:c>
      <x:c r="G164" s="29" t="str">
        <x:v>Former US Army medic in Ukraine since 2011; served as a medic on Maidan and in Donbas and now advances medical training and preparedness.</x:v>
      </x:c>
      <x:c r="H164" s="29" t="str">
        <x:v>Documented public Ukraine case</x:v>
      </x:c>
      <x:c r="I164" s="29" t="str">
        <x:v>Keynote speaker; training partner; case author</x:v>
      </x:c>
      <x:c r="J164" s="29" t="str">
        <x:v>Member / participant</x:v>
      </x:c>
      <x:c r="K164" s="29" t="str">
        <x:v>Building lifesaving medical capability from volunteer action to durable institutions</x:v>
      </x:c>
      <x:c r="L164" s="29" t="str">
        <x:v>Combat medicine, civilian preparedness and veteran-led innovation</x:v>
      </x:c>
      <x:c r="M164" s="29" t="str">
        <x:v>Public research completed; interview and consent required</x:v>
      </x:c>
      <x:c r="N164" s="29" t="str">
        <x:v>Not requested</x:v>
      </x:c>
      <x:c r="O164" s="29" t="str">
        <x:v>Human review and permission required before publication</x:v>
      </x:c>
      <x:c r="P164" s="29" t="str">
        <x:v>Which medical-preparedness practices saved the most lives, and what remains institutionally fragile?</x:v>
      </x:c>
      <x:c r="Q164" s="29" t="str">
        <x:v>https://anomaly.org.ua/about/</x:v>
      </x:c>
    </x:row>
    <x:row r="165">
      <x:c r="A165" s="30" t="n">
        <x:v>161</x:v>
      </x:c>
      <x:c r="B165" s="29" t="str">
        <x:v>David Francis Blanc</x:v>
      </x:c>
      <x:c r="C165" s="29" t="str">
        <x:v>Independent</x:v>
      </x:c>
      <x:c r="D165" s="29" t="str">
        <x:v>Writer; former soldier and police officer</x:v>
      </x:c>
      <x:c r="E165" s="29" t="str">
        <x:v>To classify</x:v>
      </x:c>
      <x:c r="F165" s="29" t="str">
        <x:v>Public commentary, policing and personal conflict experience</x:v>
      </x:c>
      <x:c r="G165" s="29" t="str">
        <x:v>Writer based in Ukraine who publishes commentary on the war and security; no organisational operating case identified.</x:v>
      </x:c>
      <x:c r="H165" s="29" t="str">
        <x:v>Public writing profile; professional case interview required</x:v>
      </x:c>
      <x:c r="I165" s="29" t="str">
        <x:v>Commentator or writing contributor after editorial review</x:v>
      </x:c>
      <x:c r="J165" s="29" t="str">
        <x:v>Member / participant</x:v>
      </x:c>
      <x:c r="K165" s="29" t="str">
        <x:v>Public narratives, security perceptions and lived experience of war</x:v>
      </x:c>
      <x:c r="L165" s="29" t="str">
        <x:v>Strategic communication and public understanding</x:v>
      </x:c>
      <x:c r="M165" s="29" t="str">
        <x:v>Public research completed; interview and consent required</x:v>
      </x:c>
      <x:c r="N165" s="29" t="str">
        <x:v>Not requested</x:v>
      </x:c>
      <x:c r="O165" s="29" t="str">
        <x:v>Human review and permission required before publication</x:v>
      </x:c>
      <x:c r="P165" s="29" t="str">
        <x:v>What do outside audiences consistently misunderstand about daily risk and resilience in Ukraine?</x:v>
      </x:c>
      <x:c r="Q165" s="29" t="str">
        <x:v>https://medium.com/@davidfrancisblanc_37502/trump-whats-his-deal-a9891b8d5394</x:v>
      </x:c>
    </x:row>
    <x:row r="166">
      <x:c r="A166" s="30" t="n">
        <x:v>162</x:v>
      </x:c>
      <x:c r="B166" s="29" t="str">
        <x:v>David Rubens</x:v>
      </x:c>
      <x:c r="C166" s="29" t="str">
        <x:v>Institute of Strategic Risk Management</x:v>
      </x:c>
      <x:c r="D166" s="29" t="str">
        <x:v>Founder and Executive Director</x:v>
      </x:c>
      <x:c r="E166" s="29" t="str">
        <x:v>Business / advisory</x:v>
      </x:c>
      <x:c r="F166" s="29" t="str">
        <x:v>Strategic risk, crisis leadership and international professional networks</x:v>
      </x:c>
      <x:c r="G166" s="29" t="str">
        <x:v>Multiple wartime visits and institutional engagements in Ukraine, including NSDC-linked reconstruction dialogue and a 2026 lecture at the National Academy of Security Services.</x:v>
      </x:c>
      <x:c r="H166" s="29" t="str">
        <x:v>Documented public Ukraine engagement</x:v>
      </x:c>
      <x:c r="I166" s="29" t="str">
        <x:v>Executive sponsor; editorial lead; international convenor</x:v>
      </x:c>
      <x:c r="J166" s="29" t="str">
        <x:v>Chapter team / community organiser</x:v>
      </x:c>
      <x:c r="K166" s="29" t="str">
        <x:v>Turning Ukraine’s lived experience into an international strategic-risk body of knowledge</x:v>
      </x:c>
      <x:c r="L166" s="29" t="str">
        <x:v>Global professional standards, education and institutional partnerships</x:v>
      </x:c>
      <x:c r="M166" s="29" t="str">
        <x:v>Public research completed; interview and consent required</x:v>
      </x:c>
      <x:c r="N166" s="29" t="str">
        <x:v>Not requested</x:v>
      </x:c>
      <x:c r="O166" s="29" t="str">
        <x:v>Human review and permission required before publication</x:v>
      </x:c>
      <x:c r="P166" s="29" t="str">
        <x:v>What governance is needed to turn Ukrainian lessons into credible global ISRM knowledge products?</x:v>
      </x:c>
      <x:c r="Q166" s="29" t="str">
        <x:v>https://www.theisrm.org/ongoing-isrm-support-for-ukraine/</x:v>
      </x:c>
    </x:row>
    <x:row r="167">
      <x:c r="A167" s="30" t="n">
        <x:v>163</x:v>
      </x:c>
      <x:c r="B167" s="29" t="str">
        <x:v>DD (identity unresolved)</x:v>
      </x:c>
      <x:c r="C167" s="29" t="str">
        <x:v>—</x:v>
      </x:c>
      <x:c r="D167" s="29" t="str">
        <x:v>—</x:v>
      </x:c>
      <x:c r="E167" s="29" t="str">
        <x:v>To classify</x:v>
      </x:c>
      <x:c r="F167" s="29" t="str">
        <x:v>To assess</x:v>
      </x:c>
      <x:c r="G167" s="29" t="str">
        <x:v>Ukraine-related experience — assess</x:v>
      </x:c>
      <x:c r="H167" s="29" t="str">
        <x:v>Group entry only</x:v>
      </x:c>
      <x:c r="I167" s="29" t="str">
        <x:v>To assess</x:v>
      </x:c>
      <x:c r="J167" s="29" t="str">
        <x:v>Member / participant</x:v>
      </x:c>
      <x:c r="K167" s="29" t="str">
        <x:v>Professional experience from Ukraine — topic to be defined</x:v>
      </x:c>
      <x:c r="L167" s="29" t="str">
        <x:v>To assess</x:v>
      </x:c>
      <x:c r="M167" s="29" t="str">
        <x:v>Not researched</x:v>
      </x:c>
      <x:c r="N167" s="29" t="str">
        <x:v>Not requested</x:v>
      </x:c>
      <x:c r="O167" s="29" t="str">
        <x:v>Human review and permission required before publication</x:v>
      </x:c>
      <x:c r="P167" s="29" t="str">
        <x:v>What did this person or organisation learn in Ukraine after 2022; what worked, what failed, and what is transferable?</x:v>
      </x:c>
      <x:c r="Q167" s="29"/>
    </x:row>
    <x:row r="168">
      <x:c r="A168" s="30" t="n">
        <x:v>164</x:v>
      </x:c>
      <x:c r="B168" s="29" t="str">
        <x:v>Dmytro Drizhd</x:v>
      </x:c>
      <x:c r="C168" s="29" t="str">
        <x:v>Independent / humanitarian sector</x:v>
      </x:c>
      <x:c r="D168" s="29" t="str">
        <x:v>Former Head of Mission, arche noVa Ukraine</x:v>
      </x:c>
      <x:c r="E168" s="29" t="str">
        <x:v>Business / advisory</x:v>
      </x:c>
      <x:c r="F168" s="29" t="str">
        <x:v>Humanitarian mission start-up, WASH, emergency relief and localisation</x:v>
      </x:c>
      <x:c r="G168" s="29" t="str">
        <x:v>Built arche noVa’s Ukraine mission from spring 2022 during unprecedented humanitarian need; earlier led local partner New Way in eastern Ukraine. Left the role in 2026.</x:v>
      </x:c>
      <x:c r="H168" s="29" t="str">
        <x:v>Documented public Ukraine case; current next role unknown</x:v>
      </x:c>
      <x:c r="I168" s="29" t="str">
        <x:v>Humanitarian leader; case author; mentor</x:v>
      </x:c>
      <x:c r="J168" s="29" t="str">
        <x:v>Connector / community multiplier</x:v>
      </x:c>
      <x:c r="K168" s="29" t="str">
        <x:v>Rapidly building a humanitarian mission through trust, local partners and shared values</x:v>
      </x:c>
      <x:c r="L168" s="29" t="str">
        <x:v>Mission start-up, localisation, WASH and leadership under prolonged crisis</x:v>
      </x:c>
      <x:c r="M168" s="29" t="str">
        <x:v>Public research completed; interview and consent required</x:v>
      </x:c>
      <x:c r="N168" s="29" t="str">
        <x:v>Not requested</x:v>
      </x:c>
      <x:c r="O168" s="29" t="str">
        <x:v>Human review and permission required before publication</x:v>
      </x:c>
      <x:c r="P168" s="29" t="str">
        <x:v>What enabled rapid scale without sacrificing local ownership or team trust?</x:v>
      </x:c>
      <x:c r="Q168" s="29" t="str">
        <x:v>https://www.linkedin.com/posts/dmytro-drizhd-3599aa18a_today-is-my-last-working-day-as-head-of-mission-activity-7423027456070070272-uVvc</x:v>
      </x:c>
    </x:row>
    <x:row r="169">
      <x:c r="A169" s="30" t="n">
        <x:v>165</x:v>
      </x:c>
      <x:c r="B169" s="29" t="str">
        <x:v>Elena (surname unknown)</x:v>
      </x:c>
      <x:c r="C169" s="29" t="str">
        <x:v>—</x:v>
      </x:c>
      <x:c r="D169" s="29" t="str">
        <x:v>—</x:v>
      </x:c>
      <x:c r="E169" s="29" t="str">
        <x:v>To classify</x:v>
      </x:c>
      <x:c r="F169" s="29" t="str">
        <x:v>To assess</x:v>
      </x:c>
      <x:c r="G169" s="29" t="str">
        <x:v>Ukraine-related experience — assess</x:v>
      </x:c>
      <x:c r="H169" s="29" t="str">
        <x:v>Group entry only</x:v>
      </x:c>
      <x:c r="I169" s="29" t="str">
        <x:v>To assess</x:v>
      </x:c>
      <x:c r="J169" s="29" t="str">
        <x:v>Member / participant</x:v>
      </x:c>
      <x:c r="K169" s="29" t="str">
        <x:v>Professional experience from Ukraine — topic to be defined</x:v>
      </x:c>
      <x:c r="L169" s="29" t="str">
        <x:v>To assess</x:v>
      </x:c>
      <x:c r="M169" s="29" t="str">
        <x:v>Not researched</x:v>
      </x:c>
      <x:c r="N169" s="29" t="str">
        <x:v>Not requested</x:v>
      </x:c>
      <x:c r="O169" s="29" t="str">
        <x:v>Human review and permission required before publication</x:v>
      </x:c>
      <x:c r="P169" s="29" t="str">
        <x:v>What did this person or organisation learn in Ukraine after 2022; what worked, what failed, and what is transferable?</x:v>
      </x:c>
      <x:c r="Q169" s="29"/>
    </x:row>
    <x:row r="170">
      <x:c r="A170" s="30" t="n">
        <x:v>166</x:v>
      </x:c>
      <x:c r="B170" s="29" t="str">
        <x:v>Ermina Strutinschi</x:v>
      </x:c>
      <x:c r="C170" s="29" t="str">
        <x:v>Vesper Group Ukraine</x:v>
      </x:c>
      <x:c r="D170" s="29" t="str">
        <x:v>Kyiv-based Analyst</x:v>
      </x:c>
      <x:c r="E170" s="29" t="str">
        <x:v>To classify</x:v>
      </x:c>
      <x:c r="F170" s="29" t="str">
        <x:v>Security analysis, country risk and business-operating conditions</x:v>
      </x:c>
      <x:c r="G170" s="29" t="str">
        <x:v>Provides differentiated analysis of front-line distance, weapons ranges, air attacks, civilian casualties and implications for government stability and business operations.</x:v>
      </x:c>
      <x:c r="H170" s="29" t="str">
        <x:v>Documented public Ukraine case</x:v>
      </x:c>
      <x:c r="I170" s="29" t="str">
        <x:v>Analyst speaker; business-risk briefing contributor</x:v>
      </x:c>
      <x:c r="J170" s="29" t="str">
        <x:v>Institutional partner candidate</x:v>
      </x:c>
      <x:c r="K170" s="29" t="str">
        <x:v>Why ‘Ukraine risk’ cannot be treated as one uniform national risk level</x:v>
      </x:c>
      <x:c r="L170" s="29" t="str">
        <x:v>Geographic risk segmentation and responsible market entry</x:v>
      </x:c>
      <x:c r="M170" s="29" t="str">
        <x:v>Public research completed; interview and consent required</x:v>
      </x:c>
      <x:c r="N170" s="29" t="str">
        <x:v>Not requested</x:v>
      </x:c>
      <x:c r="O170" s="29" t="str">
        <x:v>Human review and permission required before publication</x:v>
      </x:c>
      <x:c r="P170" s="29" t="str">
        <x:v>Which geographic and political indicators best distinguish manageable risk from unacceptable exposure?</x:v>
      </x:c>
      <x:c r="Q170" s="29" t="str">
        <x:v>https://vespergroup.se/en/security-and-safety-achieving-business-goals-in-ukraine/</x:v>
      </x:c>
    </x:row>
    <x:row r="171">
      <x:c r="A171" s="30" t="n">
        <x:v>167</x:v>
      </x:c>
      <x:c r="B171" s="29" t="str">
        <x:v>Evgenija Tkachuk</x:v>
      </x:c>
      <x:c r="C171" s="29" t="str">
        <x:v>—</x:v>
      </x:c>
      <x:c r="D171" s="29" t="str">
        <x:v>—</x:v>
      </x:c>
      <x:c r="E171" s="29" t="str">
        <x:v>To classify</x:v>
      </x:c>
      <x:c r="F171" s="29" t="str">
        <x:v>To assess</x:v>
      </x:c>
      <x:c r="G171" s="29" t="str">
        <x:v>Ukraine-related experience — assess</x:v>
      </x:c>
      <x:c r="H171" s="29" t="str">
        <x:v>Group entry only</x:v>
      </x:c>
      <x:c r="I171" s="29" t="str">
        <x:v>To assess</x:v>
      </x:c>
      <x:c r="J171" s="29" t="str">
        <x:v>Member / participant</x:v>
      </x:c>
      <x:c r="K171" s="29" t="str">
        <x:v>Professional experience from Ukraine — topic to be defined</x:v>
      </x:c>
      <x:c r="L171" s="29" t="str">
        <x:v>To assess</x:v>
      </x:c>
      <x:c r="M171" s="29" t="str">
        <x:v>Identity stated; professional profile required</x:v>
      </x:c>
      <x:c r="N171" s="29" t="str">
        <x:v>Not requested</x:v>
      </x:c>
      <x:c r="O171" s="29" t="str">
        <x:v>Human review and permission required before publication</x:v>
      </x:c>
      <x:c r="P171" s="29" t="str">
        <x:v>What did this person or organisation learn in Ukraine after 2022; what worked, what failed, and what is transferable?</x:v>
      </x:c>
      <x:c r="Q171" s="29"/>
    </x:row>
    <x:row r="172">
      <x:c r="A172" s="30" t="n">
        <x:v>168</x:v>
      </x:c>
      <x:c r="B172" s="29" t="str">
        <x:v>Geoff (surname unknown)</x:v>
      </x:c>
      <x:c r="C172" s="29" t="str">
        <x:v>—</x:v>
      </x:c>
      <x:c r="D172" s="29" t="str">
        <x:v>—</x:v>
      </x:c>
      <x:c r="E172" s="29" t="str">
        <x:v>To classify</x:v>
      </x:c>
      <x:c r="F172" s="29" t="str">
        <x:v>To assess</x:v>
      </x:c>
      <x:c r="G172" s="29" t="str">
        <x:v>Ukraine-related experience — assess</x:v>
      </x:c>
      <x:c r="H172" s="29" t="str">
        <x:v>Group entry only</x:v>
      </x:c>
      <x:c r="I172" s="29" t="str">
        <x:v>To assess</x:v>
      </x:c>
      <x:c r="J172" s="29" t="str">
        <x:v>Member / participant</x:v>
      </x:c>
      <x:c r="K172" s="29" t="str">
        <x:v>Professional experience from Ukraine — topic to be defined</x:v>
      </x:c>
      <x:c r="L172" s="29" t="str">
        <x:v>To assess</x:v>
      </x:c>
      <x:c r="M172" s="29" t="str">
        <x:v>Not researched</x:v>
      </x:c>
      <x:c r="N172" s="29" t="str">
        <x:v>Not requested</x:v>
      </x:c>
      <x:c r="O172" s="29" t="str">
        <x:v>Human review and permission required before publication</x:v>
      </x:c>
      <x:c r="P172" s="29" t="str">
        <x:v>What did this person or organisation learn in Ukraine after 2022; what worked, what failed, and what is transferable?</x:v>
      </x:c>
      <x:c r="Q172" s="29"/>
    </x:row>
    <x:row r="173">
      <x:c r="A173" s="30" t="n">
        <x:v>169</x:v>
      </x:c>
      <x:c r="B173" s="29" t="str">
        <x:v>Gerald Sigrist</x:v>
      </x:c>
      <x:c r="C173" s="29" t="str">
        <x:v>Save the Children International Ukraine</x:v>
      </x:c>
      <x:c r="D173" s="29" t="str">
        <x:v>Safety &amp; Security Director</x:v>
      </x:c>
      <x:c r="E173" s="29" t="str">
        <x:v>Security / risk / resilience</x:v>
      </x:c>
      <x:c r="F173" s="29" t="str">
        <x:v>Security, strategic risk and crisis management</x:v>
      </x:c>
      <x:c r="G173" s="29" t="str">
        <x:v>Security and risk operations in wartime — verify</x:v>
      </x:c>
      <x:c r="H173" s="29" t="str">
        <x:v>Public source plus group data</x:v>
      </x:c>
      <x:c r="I173" s="29" t="str">
        <x:v>Speaker / interviewee / case-study contributor</x:v>
      </x:c>
      <x:c r="J173" s="29" t="str">
        <x:v>Member / participant</x:v>
      </x:c>
      <x:c r="K173" s="29" t="str">
        <x:v>What changed in security and risk management after 2022</x:v>
      </x:c>
      <x:c r="L173" s="29" t="str">
        <x:v>Potentially relevant internationally — verify through interview</x:v>
      </x:c>
      <x:c r="M173" s="29" t="str">
        <x:v>Identity stated; professional profile required</x:v>
      </x:c>
      <x:c r="N173" s="29" t="str">
        <x:v>Not requested</x:v>
      </x:c>
      <x:c r="O173" s="29" t="str">
        <x:v>Human review and permission required before publication</x:v>
      </x:c>
      <x:c r="P173" s="29" t="str">
        <x:v>What did this person or organisation learn in Ukraine after 2022; what worked, what failed, and what is transferable?</x:v>
      </x:c>
      <x:c r="Q173" s="29" t="str">
        <x:v>https://www.savethechildren.net/</x:v>
      </x:c>
    </x:row>
    <x:row r="174">
      <x:c r="A174" s="30" t="n">
        <x:v>170</x:v>
      </x:c>
      <x:c r="B174" s="29" t="str">
        <x:v>Greig (surname unknown)</x:v>
      </x:c>
      <x:c r="C174" s="29" t="str">
        <x:v>—</x:v>
      </x:c>
      <x:c r="D174" s="29" t="str">
        <x:v>—</x:v>
      </x:c>
      <x:c r="E174" s="29" t="str">
        <x:v>To classify</x:v>
      </x:c>
      <x:c r="F174" s="29" t="str">
        <x:v>To assess</x:v>
      </x:c>
      <x:c r="G174" s="29" t="str">
        <x:v>Ukraine-related experience — assess</x:v>
      </x:c>
      <x:c r="H174" s="29" t="str">
        <x:v>Group entry only</x:v>
      </x:c>
      <x:c r="I174" s="29" t="str">
        <x:v>To assess</x:v>
      </x:c>
      <x:c r="J174" s="29" t="str">
        <x:v>Member / participant</x:v>
      </x:c>
      <x:c r="K174" s="29" t="str">
        <x:v>Professional experience from Ukraine — topic to be defined</x:v>
      </x:c>
      <x:c r="L174" s="29" t="str">
        <x:v>To assess</x:v>
      </x:c>
      <x:c r="M174" s="29" t="str">
        <x:v>Not researched</x:v>
      </x:c>
      <x:c r="N174" s="29" t="str">
        <x:v>Not requested</x:v>
      </x:c>
      <x:c r="O174" s="29" t="str">
        <x:v>Human review and permission required before publication</x:v>
      </x:c>
      <x:c r="P174" s="29" t="str">
        <x:v>What did this person or organisation learn in Ukraine after 2022; what worked, what failed, and what is transferable?</x:v>
      </x:c>
      <x:c r="Q174" s="29"/>
    </x:row>
    <x:row r="175">
      <x:c r="A175" s="30" t="n">
        <x:v>171</x:v>
      </x:c>
      <x:c r="B175" s="29" t="str">
        <x:v>H.H (identity unresolved)</x:v>
      </x:c>
      <x:c r="C175" s="29" t="str">
        <x:v>—</x:v>
      </x:c>
      <x:c r="D175" s="29" t="str">
        <x:v>—</x:v>
      </x:c>
      <x:c r="E175" s="29" t="str">
        <x:v>To classify</x:v>
      </x:c>
      <x:c r="F175" s="29" t="str">
        <x:v>To assess</x:v>
      </x:c>
      <x:c r="G175" s="29" t="str">
        <x:v>Ukraine-related experience — assess</x:v>
      </x:c>
      <x:c r="H175" s="29" t="str">
        <x:v>Group entry only</x:v>
      </x:c>
      <x:c r="I175" s="29" t="str">
        <x:v>To assess</x:v>
      </x:c>
      <x:c r="J175" s="29" t="str">
        <x:v>Member / participant</x:v>
      </x:c>
      <x:c r="K175" s="29" t="str">
        <x:v>Professional experience from Ukraine — topic to be defined</x:v>
      </x:c>
      <x:c r="L175" s="29" t="str">
        <x:v>To assess</x:v>
      </x:c>
      <x:c r="M175" s="29" t="str">
        <x:v>Not researched</x:v>
      </x:c>
      <x:c r="N175" s="29" t="str">
        <x:v>Not requested</x:v>
      </x:c>
      <x:c r="O175" s="29" t="str">
        <x:v>Human review and permission required before publication</x:v>
      </x:c>
      <x:c r="P175" s="29" t="str">
        <x:v>What did this person or organisation learn in Ukraine after 2022; what worked, what failed, and what is transferable?</x:v>
      </x:c>
      <x:c r="Q175" s="29"/>
    </x:row>
    <x:row r="176">
      <x:c r="A176" s="30" t="n">
        <x:v>172</x:v>
      </x:c>
      <x:c r="B176" s="29" t="str">
        <x:v>Halyna (surname unknown)</x:v>
      </x:c>
      <x:c r="C176" s="29" t="str">
        <x:v>—</x:v>
      </x:c>
      <x:c r="D176" s="29" t="str">
        <x:v>—</x:v>
      </x:c>
      <x:c r="E176" s="29" t="str">
        <x:v>To classify</x:v>
      </x:c>
      <x:c r="F176" s="29" t="str">
        <x:v>To assess</x:v>
      </x:c>
      <x:c r="G176" s="29" t="str">
        <x:v>Ukraine-related experience — assess</x:v>
      </x:c>
      <x:c r="H176" s="29" t="str">
        <x:v>Group entry only</x:v>
      </x:c>
      <x:c r="I176" s="29" t="str">
        <x:v>To assess</x:v>
      </x:c>
      <x:c r="J176" s="29" t="str">
        <x:v>Member / participant</x:v>
      </x:c>
      <x:c r="K176" s="29" t="str">
        <x:v>Professional experience from Ukraine — topic to be defined</x:v>
      </x:c>
      <x:c r="L176" s="29" t="str">
        <x:v>To assess</x:v>
      </x:c>
      <x:c r="M176" s="29" t="str">
        <x:v>Not researched</x:v>
      </x:c>
      <x:c r="N176" s="29" t="str">
        <x:v>Not requested</x:v>
      </x:c>
      <x:c r="O176" s="29" t="str">
        <x:v>Human review and permission required before publication</x:v>
      </x:c>
      <x:c r="P176" s="29" t="str">
        <x:v>What did this person or organisation learn in Ukraine after 2022; what worked, what failed, and what is transferable?</x:v>
      </x:c>
      <x:c r="Q176" s="29"/>
    </x:row>
    <x:row r="177">
      <x:c r="A177" s="30" t="n">
        <x:v>173</x:v>
      </x:c>
      <x:c r="B177" s="29" t="str">
        <x:v>Hanna Zavolodko</x:v>
      </x:c>
      <x:c r="C177" s="29" t="str">
        <x:v>National Technical University Kharkiv Polytechnic Institute / ISRM Ukraine</x:v>
      </x:c>
      <x:c r="D177" s="29" t="str">
        <x:v>Associate Professor; Academic Liaison</x:v>
      </x:c>
      <x:c r="E177" s="29" t="str">
        <x:v>Academia / research</x:v>
      </x:c>
      <x:c r="F177" s="29" t="str">
        <x:v>Digital systems, engineering education and professional communities</x:v>
      </x:c>
      <x:c r="G177" s="29" t="str">
        <x:v>Academic leadership in Kharkiv and ISRM; public activity emphasises resilience through capability, tabletop exercises and international STEM networks.</x:v>
      </x:c>
      <x:c r="H177" s="29" t="str">
        <x:v>Documented public academic and ISRM activity</x:v>
      </x:c>
      <x:c r="I177" s="29" t="str">
        <x:v>Academic liaison; webinar host; research contributor</x:v>
      </x:c>
      <x:c r="J177" s="29" t="str">
        <x:v>Group administrator / community organiser</x:v>
      </x:c>
      <x:c r="K177" s="29" t="str">
        <x:v>Capability, not only capacity: preparing universities and teams to act in crisis</x:v>
      </x:c>
      <x:c r="L177" s="29" t="str">
        <x:v>Academic resilience, STEM networks and crisis exercises</x:v>
      </x:c>
      <x:c r="M177" s="29" t="str">
        <x:v>Public research completed; interview and consent required</x:v>
      </x:c>
      <x:c r="N177" s="29" t="str">
        <x:v>Not requested</x:v>
      </x:c>
      <x:c r="O177" s="29" t="str">
        <x:v>Human review and permission required before publication</x:v>
      </x:c>
      <x:c r="P177" s="29" t="str">
        <x:v>Which university capabilities proved decisive during attacks and prolonged disruption?</x:v>
      </x:c>
      <x:c r="Q177" s="29" t="str">
        <x:v>https://www.kpi.kharkov.ua/eng/2026/07/03/national-technical-university-kharkiv-polytechnic-institute-brought-together-female-stem-leaders/</x:v>
      </x:c>
    </x:row>
    <x:row r="178">
      <x:c r="A178" s="30" t="n">
        <x:v>174</x:v>
      </x:c>
      <x:c r="B178" s="29" t="str">
        <x:v>Ian Spence</x:v>
      </x:c>
      <x:c r="C178" s="29" t="str">
        <x:v>INSO Ukraine / ISRM Ukraine</x:v>
      </x:c>
      <x:c r="D178" s="29" t="str">
        <x:v>Country Director; Ukraine Chapter Chair</x:v>
      </x:c>
      <x:c r="E178" s="29" t="str">
        <x:v>Security / risk / resilience</x:v>
      </x:c>
      <x:c r="F178" s="29" t="str">
        <x:v>Humanitarian security, strategic risk, resilience and crisis leadership</x:v>
      </x:c>
      <x:c r="G178" s="29" t="str">
        <x:v>Leads INSO Ukraine supporting humanitarian organisations in a complex operating environment; over 20 years in military, law-enforcement and high-risk roles.</x:v>
      </x:c>
      <x:c r="H178" s="29" t="str">
        <x:v>Official chapter biography and public professional profile</x:v>
      </x:c>
      <x:c r="I178" s="29" t="str">
        <x:v>Chapter chair; keynote speaker; institutional connector</x:v>
      </x:c>
      <x:c r="J178" s="29" t="str">
        <x:v>Group administrator / community organiser</x:v>
      </x:c>
      <x:c r="K178" s="29" t="str">
        <x:v>Building a shared humanitarian-security picture across a large and changing conflict</x:v>
      </x:c>
      <x:c r="L178" s="29" t="str">
        <x:v>Humanitarian information systems, coordination and crisis leadership</x:v>
      </x:c>
      <x:c r="M178" s="29" t="str">
        <x:v>Public research completed; interview and consent required</x:v>
      </x:c>
      <x:c r="N178" s="29" t="str">
        <x:v>Not requested</x:v>
      </x:c>
      <x:c r="O178" s="29" t="str">
        <x:v>Human review and permission required before publication</x:v>
      </x:c>
      <x:c r="P178" s="29" t="str">
        <x:v>What has Ukraine changed about how the humanitarian sector shares risk information and coordinates decisions?</x:v>
      </x:c>
      <x:c r="Q178" s="29" t="str">
        <x:v>https://www.theisrm.org/isrm-announces-ukraine-chapter/</x:v>
      </x:c>
    </x:row>
    <x:row r="179">
      <x:c r="A179" s="30" t="n">
        <x:v>175</x:v>
      </x:c>
      <x:c r="B179" s="29" t="str">
        <x:v>Ilona (surname unknown)</x:v>
      </x:c>
      <x:c r="C179" s="29" t="str">
        <x:v>—</x:v>
      </x:c>
      <x:c r="D179" s="29" t="str">
        <x:v>—</x:v>
      </x:c>
      <x:c r="E179" s="29" t="str">
        <x:v>To classify</x:v>
      </x:c>
      <x:c r="F179" s="29" t="str">
        <x:v>To assess</x:v>
      </x:c>
      <x:c r="G179" s="29" t="str">
        <x:v>Ukraine-related experience — assess</x:v>
      </x:c>
      <x:c r="H179" s="29" t="str">
        <x:v>Group entry only</x:v>
      </x:c>
      <x:c r="I179" s="29" t="str">
        <x:v>To assess</x:v>
      </x:c>
      <x:c r="J179" s="29" t="str">
        <x:v>Member / participant</x:v>
      </x:c>
      <x:c r="K179" s="29" t="str">
        <x:v>Professional experience from Ukraine — topic to be defined</x:v>
      </x:c>
      <x:c r="L179" s="29" t="str">
        <x:v>To assess</x:v>
      </x:c>
      <x:c r="M179" s="29" t="str">
        <x:v>Not researched</x:v>
      </x:c>
      <x:c r="N179" s="29" t="str">
        <x:v>Not requested</x:v>
      </x:c>
      <x:c r="O179" s="29" t="str">
        <x:v>Human review and permission required before publication</x:v>
      </x:c>
      <x:c r="P179" s="29" t="str">
        <x:v>What did this person or organisation learn in Ukraine after 2022; what worked, what failed, and what is transferable?</x:v>
      </x:c>
      <x:c r="Q179" s="29"/>
    </x:row>
    <x:row r="180">
      <x:c r="A180" s="30" t="n">
        <x:v>176</x:v>
      </x:c>
      <x:c r="B180" s="29" t="str">
        <x:v>Irina (surname unknown)</x:v>
      </x:c>
      <x:c r="C180" s="29" t="str">
        <x:v>—</x:v>
      </x:c>
      <x:c r="D180" s="29" t="str">
        <x:v>—</x:v>
      </x:c>
      <x:c r="E180" s="29" t="str">
        <x:v>To classify</x:v>
      </x:c>
      <x:c r="F180" s="29" t="str">
        <x:v>To assess</x:v>
      </x:c>
      <x:c r="G180" s="29" t="str">
        <x:v>Ukraine-related experience — assess</x:v>
      </x:c>
      <x:c r="H180" s="29" t="str">
        <x:v>Group entry only</x:v>
      </x:c>
      <x:c r="I180" s="29" t="str">
        <x:v>To assess</x:v>
      </x:c>
      <x:c r="J180" s="29" t="str">
        <x:v>Member / participant</x:v>
      </x:c>
      <x:c r="K180" s="29" t="str">
        <x:v>Professional experience from Ukraine — topic to be defined</x:v>
      </x:c>
      <x:c r="L180" s="29" t="str">
        <x:v>To assess</x:v>
      </x:c>
      <x:c r="M180" s="29" t="str">
        <x:v>Not researched</x:v>
      </x:c>
      <x:c r="N180" s="29" t="str">
        <x:v>Not requested</x:v>
      </x:c>
      <x:c r="O180" s="29" t="str">
        <x:v>Human review and permission required before publication</x:v>
      </x:c>
      <x:c r="P180" s="29" t="str">
        <x:v>What did this person or organisation learn in Ukraine after 2022; what worked, what failed, and what is transferable?</x:v>
      </x:c>
      <x:c r="Q180" s="29"/>
    </x:row>
    <x:row r="181">
      <x:c r="A181" s="30" t="n">
        <x:v>177</x:v>
      </x:c>
      <x:c r="B181" s="29" t="str">
        <x:v>Iurii Pastushenko</x:v>
      </x:c>
      <x:c r="C181" s="29" t="str">
        <x:v>ASB Ukraine</x:v>
      </x:c>
      <x:c r="D181" s="29" t="str">
        <x:v>Country Security Manager</x:v>
      </x:c>
      <x:c r="E181" s="29" t="str">
        <x:v>Security / risk / resilience</x:v>
      </x:c>
      <x:c r="F181" s="29" t="str">
        <x:v>NGO security-risk management</x:v>
      </x:c>
      <x:c r="G181" s="29" t="str">
        <x:v>Public profile confirms country-level security management for ASB Ukraine; no detailed operational case was publicly identified.</x:v>
      </x:c>
      <x:c r="H181" s="29" t="str">
        <x:v>Public professional profile; case interview required</x:v>
      </x:c>
      <x:c r="I181" s="29" t="str">
        <x:v>Practitioner interviewee; regional case contributor</x:v>
      </x:c>
      <x:c r="J181" s="29" t="str">
        <x:v>Member / participant</x:v>
      </x:c>
      <x:c r="K181" s="29" t="str">
        <x:v>Security decision-making for an NGO operating from Kharkiv and across Ukraine</x:v>
      </x:c>
      <x:c r="L181" s="29" t="str">
        <x:v>NGO duty of care and decentralised security management</x:v>
      </x:c>
      <x:c r="M181" s="29" t="str">
        <x:v>Public research completed; interview and consent required</x:v>
      </x:c>
      <x:c r="N181" s="29" t="str">
        <x:v>Not requested</x:v>
      </x:c>
      <x:c r="O181" s="29" t="str">
        <x:v>Human review and permission required before publication</x:v>
      </x:c>
      <x:c r="P181" s="29" t="str">
        <x:v>Which risks and decisions differ most between Kharkiv-based operations and national-level planning?</x:v>
      </x:c>
      <x:c r="Q181" s="29" t="str">
        <x:v>https://ua.linkedin.com/in/iurii-pastushenko-896392248</x:v>
      </x:c>
    </x:row>
    <x:row r="182">
      <x:c r="A182" s="30" t="n">
        <x:v>178</x:v>
      </x:c>
      <x:c r="B182" s="29" t="str">
        <x:v>Ivan Golturenko</x:v>
      </x:c>
      <x:c r="C182" s="29" t="str">
        <x:v>—</x:v>
      </x:c>
      <x:c r="D182" s="29" t="str">
        <x:v>—</x:v>
      </x:c>
      <x:c r="E182" s="29" t="str">
        <x:v>To classify</x:v>
      </x:c>
      <x:c r="F182" s="29" t="str">
        <x:v>To assess</x:v>
      </x:c>
      <x:c r="G182" s="29" t="str">
        <x:v>Ukraine-related experience — assess</x:v>
      </x:c>
      <x:c r="H182" s="29" t="str">
        <x:v>Group entry only</x:v>
      </x:c>
      <x:c r="I182" s="29" t="str">
        <x:v>To assess</x:v>
      </x:c>
      <x:c r="J182" s="29" t="str">
        <x:v>Member / participant</x:v>
      </x:c>
      <x:c r="K182" s="29" t="str">
        <x:v>Professional experience from Ukraine — topic to be defined</x:v>
      </x:c>
      <x:c r="L182" s="29" t="str">
        <x:v>To assess</x:v>
      </x:c>
      <x:c r="M182" s="29" t="str">
        <x:v>Identity stated; professional profile required</x:v>
      </x:c>
      <x:c r="N182" s="29" t="str">
        <x:v>Not requested</x:v>
      </x:c>
      <x:c r="O182" s="29" t="str">
        <x:v>Human review and permission required before publication</x:v>
      </x:c>
      <x:c r="P182" s="29" t="str">
        <x:v>What did this person or organisation learn in Ukraine after 2022; what worked, what failed, and what is transferable?</x:v>
      </x:c>
      <x:c r="Q182" s="29"/>
    </x:row>
  </x:sheetData>
  <x:mergeCells>
    <x:mergeCell ref="A1:Q1"/>
    <x:mergeCell ref="A2:Q2"/>
  </x:mergeCells>
  <x:dataValidations count="1">
    <x:dataValidation type="list" sqref="N5:N182">
      <x:formula1>"Not requested,Interview agreed,Internal use only,Publication permission recorded,Declined"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74042482d641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2" hidden="0" customWidth="1"/>
    <x:col min="4" max="4" width="34" hidden="0" customWidth="1"/>
    <x:col min="5" max="5" width="42" hidden="0" customWidth="1"/>
    <x:col min="6" max="6" width="64" hidden="0" customWidth="1"/>
    <x:col min="7" max="7" width="49" hidden="0" customWidth="1"/>
    <x:col min="8" max="8" width="49" hidden="0" customWidth="1"/>
    <x:col min="9" max="9" width="46" hidden="0" customWidth="1"/>
    <x:col min="10" max="10" width="58" hidden="0" customWidth="1"/>
    <x:col min="11" max="11" width="38" hidden="0" customWidth="1"/>
    <x:col min="12" max="12" width="52" hidden="0" customWidth="1"/>
    <x:col min="13" max="13" width="52" hidden="0" customWidth="1"/>
    <x:col min="14" max="14" width="14" hidden="0" customWidth="1"/>
    <x:col min="15" max="15" width="22" hidden="0" customWidth="1"/>
    <x:col min="16" max="16" width="43" hidden="0" customWidth="1"/>
  </x:cols>
  <x:sheetData>
    <x:row r="1" ht="31" customHeight="1">
      <x:c r="A1" s="4" t="str">
        <x:v>ISRM Ukraine — Verified Profiles Research (45)</x:v>
      </x:c>
      <x:c r="B1" s="4" t="str">
        <x:v>ISRM Ukraine — Verified Profiles Research (45)</x:v>
      </x:c>
      <x:c r="C1" s="4" t="str">
        <x:v>ISRM Ukraine — Verified Profiles Research (45)</x:v>
      </x:c>
      <x:c r="D1" s="4" t="str">
        <x:v>ISRM Ukraine — Verified Profiles Research (45)</x:v>
      </x:c>
      <x:c r="E1" s="4" t="str">
        <x:v>ISRM Ukraine — Verified Profiles Research (45)</x:v>
      </x:c>
      <x:c r="F1" s="4" t="str">
        <x:v>ISRM Ukraine — Verified Profiles Research (45)</x:v>
      </x:c>
      <x:c r="G1" s="4" t="str">
        <x:v>ISRM Ukraine — Verified Profiles Research (45)</x:v>
      </x:c>
      <x:c r="H1" s="4" t="str">
        <x:v>ISRM Ukraine — Verified Profiles Research (45)</x:v>
      </x:c>
      <x:c r="I1" s="4" t="str">
        <x:v>ISRM Ukraine — Verified Profiles Research (45)</x:v>
      </x:c>
      <x:c r="J1" s="4" t="str">
        <x:v>ISRM Ukraine — Verified Profiles Research (45)</x:v>
      </x:c>
      <x:c r="K1" s="4" t="str">
        <x:v>ISRM Ukraine — Verified Profiles Research (45)</x:v>
      </x:c>
      <x:c r="L1" s="4" t="str">
        <x:v>ISRM Ukraine — Verified Profiles Research (45)</x:v>
      </x:c>
      <x:c r="M1" s="4" t="str">
        <x:v>ISRM Ukraine — Verified Profiles Research (45)</x:v>
      </x:c>
      <x:c r="N1" s="4" t="str">
        <x:v>ISRM Ukraine — Verified Profiles Research (45)</x:v>
      </x:c>
      <x:c r="O1" s="4" t="str">
        <x:v>ISRM Ukraine — Verified Profiles Research (45)</x:v>
      </x:c>
      <x:c r="P1" s="4" t="str">
        <x:v>ISRM Ukraine — Verified Profiles Research (45)</x:v>
      </x:c>
    </x:row>
    <x:row r="2" ht="28" customHeight="1">
      <x:c r="A2" s="16" t="str">
        <x:v>Public-source research as of 28 August 2026. A public source supports verification but does not replace an interview, operational-security review or permission to publish.</x:v>
      </x:c>
      <x:c r="B2" s="17" t="str">
        <x:v>Public-source research as of 28 August 2026. A public source supports verification but does not replace an interview, operational-security review or permission to publish.</x:v>
      </x:c>
      <x:c r="C2" s="17" t="str">
        <x:v>Public-source research as of 28 August 2026. A public source supports verification but does not replace an interview, operational-security review or permission to publish.</x:v>
      </x:c>
      <x:c r="D2" s="17" t="str">
        <x:v>Public-source research as of 28 August 2026. A public source supports verification but does not replace an interview, operational-security review or permission to publish.</x:v>
      </x:c>
      <x:c r="E2" s="17" t="str">
        <x:v>Public-source research as of 28 August 2026. A public source supports verification but does not replace an interview, operational-security review or permission to publish.</x:v>
      </x:c>
      <x:c r="F2" s="17" t="str">
        <x:v>Public-source research as of 28 August 2026. A public source supports verification but does not replace an interview, operational-security review or permission to publish.</x:v>
      </x:c>
      <x:c r="G2" s="17" t="str">
        <x:v>Public-source research as of 28 August 2026. A public source supports verification but does not replace an interview, operational-security review or permission to publish.</x:v>
      </x:c>
      <x:c r="H2" s="17" t="str">
        <x:v>Public-source research as of 28 August 2026. A public source supports verification but does not replace an interview, operational-security review or permission to publish.</x:v>
      </x:c>
      <x:c r="I2" s="17" t="str">
        <x:v>Public-source research as of 28 August 2026. A public source supports verification but does not replace an interview, operational-security review or permission to publish.</x:v>
      </x:c>
      <x:c r="J2" s="17" t="str">
        <x:v>Public-source research as of 28 August 2026. A public source supports verification but does not replace an interview, operational-security review or permission to publish.</x:v>
      </x:c>
      <x:c r="K2" s="17" t="str">
        <x:v>Public-source research as of 28 August 2026. A public source supports verification but does not replace an interview, operational-security review or permission to publish.</x:v>
      </x:c>
      <x:c r="L2" s="17" t="str">
        <x:v>Public-source research as of 28 August 2026. A public source supports verification but does not replace an interview, operational-security review or permission to publish.</x:v>
      </x:c>
      <x:c r="M2" s="17" t="str">
        <x:v>Public-source research as of 28 August 2026. A public source supports verification but does not replace an interview, operational-security review or permission to publish.</x:v>
      </x:c>
      <x:c r="N2" s="17" t="str">
        <x:v>Public-source research as of 28 August 2026. A public source supports verification but does not replace an interview, operational-security review or permission to publish.</x:v>
      </x:c>
      <x:c r="O2" s="17" t="str">
        <x:v>Public-source research as of 28 August 2026. A public source supports verification but does not replace an interview, operational-security review or permission to publish.</x:v>
      </x:c>
      <x:c r="P2" s="18" t="str">
        <x:v>Public-source research as of 28 August 2026. A public source supports verification but does not replace an interview, operational-security review or permission to publish.</x:v>
      </x:c>
    </x:row>
    <x:row r="4" ht="38" customHeight="1">
      <x:c r="A4" s="24" t="str">
        <x:v>Record ID</x:v>
      </x:c>
      <x:c r="B4" s="24" t="str">
        <x:v>Contact</x:v>
      </x:c>
      <x:c r="C4" s="24" t="str">
        <x:v>Current organisation</x:v>
      </x:c>
      <x:c r="D4" s="24" t="str">
        <x:v>Current role</x:v>
      </x:c>
      <x:c r="E4" s="24" t="str">
        <x:v>Verified expertise</x:v>
      </x:c>
      <x:c r="F4" s="24" t="str">
        <x:v>Documented Ukraine experience / evidence gap</x:v>
      </x:c>
      <x:c r="G4" s="24" t="str">
        <x:v>Case-study theme</x:v>
      </x:c>
      <x:c r="H4" s="24" t="str">
        <x:v>International relevance</x:v>
      </x:c>
      <x:c r="I4" s="24" t="str">
        <x:v>Potential ISRM role</x:v>
      </x:c>
      <x:c r="J4" s="24" t="str">
        <x:v>Priority interview question</x:v>
      </x:c>
      <x:c r="K4" s="24" t="str">
        <x:v>Evidence level</x:v>
      </x:c>
      <x:c r="L4" s="24" t="str">
        <x:v>Primary source</x:v>
      </x:c>
      <x:c r="M4" s="24" t="str">
        <x:v>Secondary source</x:v>
      </x:c>
      <x:c r="N4" s="24" t="str">
        <x:v>Research date</x:v>
      </x:c>
      <x:c r="O4" s="24" t="str">
        <x:v>Interview status</x:v>
      </x:c>
      <x:c r="P4" s="24" t="str">
        <x:v>Publication status</x:v>
      </x:c>
    </x:row>
    <x:row r="5">
      <x:c r="A5" s="30" t="n">
        <x:v>4</x:v>
      </x:c>
      <x:c r="B5" s="29" t="str">
        <x:v>Jamie Macpherson</x:v>
      </x:c>
      <x:c r="C5" s="29" t="str">
        <x:v>Control Risks</x:v>
      </x:c>
      <x:c r="D5" s="29" t="str">
        <x:v>Country Director, Ukraine</x:v>
      </x:c>
      <x:c r="E5" s="29" t="str">
        <x:v>Strategic risk, security advisory and organisational resilience</x:v>
      </x:c>
      <x:c r="F5" s="29" t="str">
        <x:v>Leads Control Risks work supporting government, NGO and private-sector clients operating in Ukraine.</x:v>
      </x:c>
      <x:c r="G5" s="29" t="str">
        <x:v>How organisations make defensible decisions in a fast-changing conflict environment</x:v>
      </x:c>
      <x:c r="H5" s="29" t="str">
        <x:v>Operating models for high-risk markets and prolonged geopolitical disruption</x:v>
      </x:c>
      <x:c r="I5" s="29" t="str">
        <x:v>Senior speaker; strategic-risk case contributor; institutional connector</x:v>
      </x:c>
      <x:c r="J5" s="29" t="str">
        <x:v>Which risk assumptions used before 2022 failed first, and what decision practices now work better?</x:v>
      </x:c>
      <x:c r="K5" s="29" t="str">
        <x:v>Documented public Ukraine role</x:v>
      </x:c>
      <x:c r="L5" s="29" t="str">
        <x:v>https://ua.linkedin.com/in/jamie-macpherson-55a46515</x:v>
      </x:c>
      <x:c r="M5" s="29" t="str">
        <x:v>https://www.youtube.com/watch?v=zmvCJIXv1co</x:v>
      </x:c>
      <x:c r="N5" s="32" t="n">
        <x:v>46262</x:v>
      </x:c>
      <x:c r="O5" s="29" t="str">
        <x:v>Not requested</x:v>
      </x:c>
      <x:c r="P5" s="29" t="str">
        <x:v>Internal research only — permission required</x:v>
      </x:c>
    </x:row>
    <x:row r="6">
      <x:c r="A6" s="30" t="n">
        <x:v>6</x:v>
      </x:c>
      <x:c r="B6" s="29" t="str">
        <x:v>Jen Kosydar</x:v>
      </x:c>
      <x:c r="C6" s="29" t="str">
        <x:v>Svitanok Global LLC</x:v>
      </x:c>
      <x:c r="D6" s="29" t="str">
        <x:v>Founder and Managing Director</x:v>
      </x:c>
      <x:c r="E6" s="29" t="str">
        <x:v>Strategic intelligence, political risk, disputes support, due diligence and asset tracing</x:v>
      </x:c>
      <x:c r="F6" s="29" t="str">
        <x:v>Public profile establishes Ukraine-related advisory positioning, but no specific wartime case was found.</x:v>
      </x:c>
      <x:c r="G6" s="29" t="str">
        <x:v>Independent intelligence for decisions in opaque and frontier markets</x:v>
      </x:c>
      <x:c r="H6" s="29" t="str">
        <x:v>Due diligence and political-risk methods for volatile jurisdictions</x:v>
      </x:c>
      <x:c r="I6" s="29" t="str">
        <x:v>Speaker; research contributor; advisory partner</x:v>
      </x:c>
      <x:c r="J6" s="29" t="str">
        <x:v>Which Ukraine-derived intelligence methods are most transferable to other frontier markets?</x:v>
      </x:c>
      <x:c r="K6" s="29" t="str">
        <x:v>Public professional profile; case interview required</x:v>
      </x:c>
      <x:c r="L6" s="29" t="str">
        <x:v>https://www.svitanokglobal.com/about</x:v>
      </x:c>
      <x:c r="M6" s="29" t="str">
        <x:v>https://rs.linkedin.com/in/jenkosydar</x:v>
      </x:c>
      <x:c r="N6" s="32" t="n">
        <x:v>46262</x:v>
      </x:c>
      <x:c r="O6" s="29" t="str">
        <x:v>Not requested</x:v>
      </x:c>
      <x:c r="P6" s="29" t="str">
        <x:v>Internal research only — permission required</x:v>
      </x:c>
    </x:row>
    <x:row r="7">
      <x:c r="A7" s="30" t="n">
        <x:v>8</x:v>
      </x:c>
      <x:c r="B7" s="29" t="str">
        <x:v>José Manuel Pinto Teixeira</x:v>
      </x:c>
      <x:c r="C7" s="29" t="str">
        <x:v>ECES / international governance sector</x:v>
      </x:c>
      <x:c r="D7" s="29" t="str">
        <x:v>Vice President; senior elections and governance expert</x:v>
      </x:c>
      <x:c r="E7" s="29" t="str">
        <x:v>Elections, governance, diplomacy and international crisis missions</x:v>
      </x:c>
      <x:c r="F7" s="29" t="str">
        <x:v>Former EU Ambassador to Ukraine; extensive international governance and humanitarian-mission experience. A post-2022 operational case was not identified.</x:v>
      </x:c>
      <x:c r="G7" s="29" t="str">
        <x:v>Institutional legitimacy and governance under geopolitical pressure</x:v>
      </x:c>
      <x:c r="H7" s="29" t="str">
        <x:v>Election integrity, diplomacy and governance in fragile environments</x:v>
      </x:c>
      <x:c r="I7" s="29" t="str">
        <x:v>Keynote speaker; governance adviser; international connector</x:v>
      </x:c>
      <x:c r="J7" s="29" t="str">
        <x:v>What does Ukraine teach about preserving institutional legitimacy during existential crisis?</x:v>
      </x:c>
      <x:c r="K7" s="29" t="str">
        <x:v>Documented senior Ukraine and international experience</x:v>
      </x:c>
      <x:c r="L7" s="29" t="str">
        <x:v>https://www.eces.eu/en/jose-manuel-pintoteixeira</x:v>
      </x:c>
      <x:c r="M7" s="29" t="str">
        <x:v>https://mozambiqueembassy.orderofmalta.int/en/the-ambassador/</x:v>
      </x:c>
      <x:c r="N7" s="32" t="n">
        <x:v>46262</x:v>
      </x:c>
      <x:c r="O7" s="29" t="str">
        <x:v>Not requested</x:v>
      </x:c>
      <x:c r="P7" s="29" t="str">
        <x:v>Internal research only — permission required</x:v>
      </x:c>
    </x:row>
    <x:row r="8">
      <x:c r="A8" s="30" t="n">
        <x:v>9</x:v>
      </x:c>
      <x:c r="B8" s="29" t="str">
        <x:v>John Jones</x:v>
      </x:c>
      <x:c r="C8" s="29" t="str">
        <x:v>Frishberg &amp; Partners / British-Ukrainian Chamber of Commerce</x:v>
      </x:c>
      <x:c r="D8" s="29" t="str">
        <x:v>Director of Business Development; BUCC Co-Chair</x:v>
      </x:c>
      <x:c r="E8" s="29" t="str">
        <x:v>International business development, market entry and UK–Ukraine commercial networks</x:v>
      </x:c>
      <x:c r="F8" s="29" t="str">
        <x:v>Long-standing business-network role in Ukraine; no discrete public wartime case was identified.</x:v>
      </x:c>
      <x:c r="G8" s="29" t="str">
        <x:v>Maintaining international commercial relationships through war and recovery</x:v>
      </x:c>
      <x:c r="H8" s="29" t="str">
        <x:v>Business diplomacy, investor access and reconstruction partnerships</x:v>
      </x:c>
      <x:c r="I8" s="29" t="str">
        <x:v>Institutional connector; roundtable host; partnership lead</x:v>
      </x:c>
      <x:c r="J8" s="29" t="str">
        <x:v>What prevents foreign firms from converting interest in Ukraine into responsible, durable engagement?</x:v>
      </x:c>
      <x:c r="K8" s="29" t="str">
        <x:v>Public professional profile; case interview required</x:v>
      </x:c>
      <x:c r="L8" s="29" t="str">
        <x:v>https://ua.linkedin.com/in/john-jones-ba198a3</x:v>
      </x:c>
      <x:c r="M8" s="29" t="str">
        <x:v>https://bucc.uk/</x:v>
      </x:c>
      <x:c r="N8" s="32" t="n">
        <x:v>46262</x:v>
      </x:c>
      <x:c r="O8" s="29" t="str">
        <x:v>Not requested</x:v>
      </x:c>
      <x:c r="P8" s="29" t="str">
        <x:v>Internal research only — permission required</x:v>
      </x:c>
    </x:row>
    <x:row r="9">
      <x:c r="A9" s="30" t="n">
        <x:v>16</x:v>
      </x:c>
      <x:c r="B9" s="29" t="str">
        <x:v>Kseniia Pidruchna (profile also uses Kluban)</x:v>
      </x:c>
      <x:c r="C9" s="29" t="str">
        <x:v>ISRM Ukraine</x:v>
      </x:c>
      <x:c r="D9" s="29" t="str">
        <x:v>Women in Strategic Risk lead</x:v>
      </x:c>
      <x:c r="E9" s="29" t="str">
        <x:v>Community leadership and women’s participation in strategic risk</x:v>
      </x:c>
      <x:c r="F9" s="29" t="str">
        <x:v>Public chapter role confirmed; underlying professional and wartime case require interview verification.</x:v>
      </x:c>
      <x:c r="G9" s="29" t="str">
        <x:v>Women’s leadership in Ukraine’s strategic-risk profession</x:v>
      </x:c>
      <x:c r="H9" s="29" t="str">
        <x:v>Inclusive professional communities and leadership pipelines</x:v>
      </x:c>
      <x:c r="I9" s="29" t="str">
        <x:v>Programme lead; mentor; community organiser</x:v>
      </x:c>
      <x:c r="J9" s="29" t="str">
        <x:v>Which barriers and opportunities are distinctive for women working in strategic risk in wartime Ukraine?</x:v>
      </x:c>
      <x:c r="K9" s="29" t="str">
        <x:v>Official chapter role; professional case interview required</x:v>
      </x:c>
      <x:c r="L9" s="29" t="str">
        <x:v>https://www.theisrm.org/international-chapters/ukraine-chapter/</x:v>
      </x:c>
      <x:c r="M9" s="29"/>
      <x:c r="N9" s="32" t="n">
        <x:v>46262</x:v>
      </x:c>
      <x:c r="O9" s="29" t="str">
        <x:v>Not requested</x:v>
      </x:c>
      <x:c r="P9" s="29" t="str">
        <x:v>Internal research only — permission required</x:v>
      </x:c>
    </x:row>
    <x:row r="10">
      <x:c r="A10" s="30" t="n">
        <x:v>17</x:v>
      </x:c>
      <x:c r="B10" s="29" t="str">
        <x:v>Larysa Zomchak</x:v>
      </x:c>
      <x:c r="C10" s="29" t="str">
        <x:v>Ivan Franko National University of Lviv</x:v>
      </x:c>
      <x:c r="D10" s="29" t="str">
        <x:v>Associate Professor</x:v>
      </x:c>
      <x:c r="E10" s="29" t="str">
        <x:v>Regional economics, data analysis and economic resilience</x:v>
      </x:c>
      <x:c r="F10" s="29" t="str">
        <x:v>Research covers regional economic resilience, external economic activity, displacement and innovation before and during the full-scale war.</x:v>
      </x:c>
      <x:c r="G10" s="29" t="str">
        <x:v>Why some Ukrainian regions and economic systems adapt better than others</x:v>
      </x:c>
      <x:c r="H10" s="29" t="str">
        <x:v>Evidence-based regional resilience policy under geopolitical shock</x:v>
      </x:c>
      <x:c r="I10" s="29" t="str">
        <x:v>Research author; academic reviewer; data-led speaker</x:v>
      </x:c>
      <x:c r="J10" s="29" t="str">
        <x:v>Which measurable factors best explain regional resilience since 2022?</x:v>
      </x:c>
      <x:c r="K10" s="29" t="str">
        <x:v>Documented public research</x:v>
      </x:c>
      <x:c r="L10" s="29" t="str">
        <x:v>https://www.researchgate.net/profile/Larysa-Zomchak</x:v>
      </x:c>
      <x:c r="M10" s="29" t="str">
        <x:v>https://ceej.wne.uw.edu.pl/regional-economic-resilience-amidst-geopolitical-uncertainty-analysis-of-the-external-economic-activity-of-ukrainian-regions/</x:v>
      </x:c>
      <x:c r="N10" s="32" t="n">
        <x:v>46262</x:v>
      </x:c>
      <x:c r="O10" s="29" t="str">
        <x:v>Not requested</x:v>
      </x:c>
      <x:c r="P10" s="29" t="str">
        <x:v>Internal research only — permission required</x:v>
      </x:c>
    </x:row>
    <x:row r="11">
      <x:c r="A11" s="30" t="n">
        <x:v>20</x:v>
      </x:c>
      <x:c r="B11" s="29" t="str">
        <x:v>Lloyd Widdup</x:v>
      </x:c>
      <x:c r="C11" s="29" t="str">
        <x:v>Independent / NGO advisory</x:v>
      </x:c>
      <x:c r="D11" s="29" t="str">
        <x:v>Close protection and NGO security adviser</x:v>
      </x:c>
      <x:c r="E11" s="29" t="str">
        <x:v>Protective security and NGO duty of care</x:v>
      </x:c>
      <x:c r="F11" s="29" t="str">
        <x:v>Public profile supports the professional field, but no reliable Ukraine wartime case was identified.</x:v>
      </x:c>
      <x:c r="G11" s="29" t="str">
        <x:v>Adapting protective-security practice to humanitarian operating constraints</x:v>
      </x:c>
      <x:c r="H11" s="29" t="str">
        <x:v>Duty of care and close protection in high-risk settings</x:v>
      </x:c>
      <x:c r="I11" s="29" t="str">
        <x:v>Practitioner interviewee; training contributor</x:v>
      </x:c>
      <x:c r="J11" s="29" t="str">
        <x:v>What changed most in protective-security practice in Ukraine after 2022?</x:v>
      </x:c>
      <x:c r="K11" s="29" t="str">
        <x:v>Public professional profile; case interview required</x:v>
      </x:c>
      <x:c r="L11" s="29" t="str">
        <x:v>https://uk.linkedin.com/in/lloyd-widdup-7abb2416a</x:v>
      </x:c>
      <x:c r="M11" s="29"/>
      <x:c r="N11" s="32" t="n">
        <x:v>46262</x:v>
      </x:c>
      <x:c r="O11" s="29" t="str">
        <x:v>Not requested</x:v>
      </x:c>
      <x:c r="P11" s="29" t="str">
        <x:v>Internal research only — permission required</x:v>
      </x:c>
    </x:row>
    <x:row r="12">
      <x:c r="A12" s="30" t="n">
        <x:v>25</x:v>
      </x:c>
      <x:c r="B12" s="29" t="str">
        <x:v>Maksym Chebotarov</x:v>
      </x:c>
      <x:c r="C12" s="29" t="str">
        <x:v>Transatlantic Dialogue Center / ISRM Ukraine</x:v>
      </x:c>
      <x:c r="D12" s="29" t="str">
        <x:v>Young Professionals and Mentoring; policy expert</x:v>
      </x:c>
      <x:c r="E12" s="29" t="str">
        <x:v>Security policy, defence adaptation and transatlantic relations</x:v>
      </x:c>
      <x:c r="F12" s="29" t="str">
        <x:v>Public ISRM keynote addressed Ukrainian and Russian adaptation models, drones, long-range strikes, defence production and resilience.</x:v>
      </x:c>
      <x:c r="G12" s="29" t="str">
        <x:v>How military and institutional adaptation changes strategic risk</x:v>
      </x:c>
      <x:c r="H12" s="29" t="str">
        <x:v>Lessons on technology-driven war, defence production and alliance policy</x:v>
      </x:c>
      <x:c r="I12" s="29" t="str">
        <x:v>Speaker; analyst; young-professionals mentor</x:v>
      </x:c>
      <x:c r="J12" s="29" t="str">
        <x:v>Which Ukrainian adaptations offer genuine international lessons, and which are context-specific?</x:v>
      </x:c>
      <x:c r="K12" s="29" t="str">
        <x:v>Documented public Ukraine case</x:v>
      </x:c>
      <x:c r="L12" s="29" t="str">
        <x:v>https://tdcenter.org/2026/07/14/ukraine-strategic-risk-management-isrm-launch/</x:v>
      </x:c>
      <x:c r="M12" s="29" t="str">
        <x:v>https://tdcenter.org/2025/08/18/tdcs-maksym-chebotarov-on-trump-putin-alaska-summit-bilateral-framework-alone-cannot-deliver-peace/</x:v>
      </x:c>
      <x:c r="N12" s="32" t="n">
        <x:v>46262</x:v>
      </x:c>
      <x:c r="O12" s="29" t="str">
        <x:v>Not requested</x:v>
      </x:c>
      <x:c r="P12" s="29" t="str">
        <x:v>Internal research only — permission required</x:v>
      </x:c>
    </x:row>
    <x:row r="13">
      <x:c r="A13" s="30" t="n">
        <x:v>30</x:v>
      </x:c>
      <x:c r="B13" s="29" t="str">
        <x:v>Murat Bayraktar</x:v>
      </x:c>
      <x:c r="C13" s="29" t="str">
        <x:v>Istanbul Esenyurt University</x:v>
      </x:c>
      <x:c r="D13" s="29" t="str">
        <x:v>Assistant Professor</x:v>
      </x:c>
      <x:c r="E13" s="29" t="str">
        <x:v>Political economy, energy and global economic effects of war</x:v>
      </x:c>
      <x:c r="F13" s="29" t="str">
        <x:v>Published analysis of the 2022 war’s effects on energy, commodities, sanctions, food security, supply chains and inflation.</x:v>
      </x:c>
      <x:c r="G13" s="29" t="str">
        <x:v>How a regional war transmits risk through the global economy</x:v>
      </x:c>
      <x:c r="H13" s="29" t="str">
        <x:v>Energy, food and supply-chain stress testing</x:v>
      </x:c>
      <x:c r="I13" s="29" t="str">
        <x:v>Academic speaker; author; macro-risk contributor</x:v>
      </x:c>
      <x:c r="J13" s="29" t="str">
        <x:v>Which global economic effects of the war were most underestimated?</x:v>
      </x:c>
      <x:c r="K13" s="29" t="str">
        <x:v>Documented public research</x:v>
      </x:c>
      <x:c r="L13" s="29" t="str">
        <x:v>https://papers.ssrn.com/sol3/papers.cfm?abstract_id=4045000</x:v>
      </x:c>
      <x:c r="M13" s="29"/>
      <x:c r="N13" s="32" t="n">
        <x:v>46262</x:v>
      </x:c>
      <x:c r="O13" s="29" t="str">
        <x:v>Not requested</x:v>
      </x:c>
      <x:c r="P13" s="29" t="str">
        <x:v>Internal research only — permission required</x:v>
      </x:c>
    </x:row>
    <x:row r="14">
      <x:c r="A14" s="30" t="n">
        <x:v>33</x:v>
      </x:c>
      <x:c r="B14" s="29" t="str">
        <x:v>Natalia Burkina</x:v>
      </x:c>
      <x:c r="C14" s="29" t="str">
        <x:v>FHV Vorarlberg University of Applied Sciences / Donetsk National University</x:v>
      </x:c>
      <x:c r="D14" s="29" t="str">
        <x:v>Researcher and data scientist</x:v>
      </x:c>
      <x:c r="E14" s="29" t="str">
        <x:v>Data science and robust decision-making under uncertainty</x:v>
      </x:c>
      <x:c r="F14" s="29" t="str">
        <x:v>Continued research after relocation through crisis support for Ukrainian scientists; works on decisions under uncertainty.</x:v>
      </x:c>
      <x:c r="G14" s="29" t="str">
        <x:v>Scientific continuity and evidence-based decisions during displacement</x:v>
      </x:c>
      <x:c r="H14" s="29" t="str">
        <x:v>Research resilience, displaced talent and robust analytics</x:v>
      </x:c>
      <x:c r="I14" s="29" t="str">
        <x:v>Research author; methods adviser; academic bridge</x:v>
      </x:c>
      <x:c r="J14" s="29" t="str">
        <x:v>What enabled useful research to continue despite displacement and uncertainty?</x:v>
      </x:c>
      <x:c r="K14" s="29" t="str">
        <x:v>Documented public Ukraine-related experience</x:v>
      </x:c>
      <x:c r="L14" s="29" t="str">
        <x:v>https://www.fhv.at/magazin/zahlen-die-geschichten-erzahlen-33655</x:v>
      </x:c>
      <x:c r="M14" s="29" t="str">
        <x:v>https://www.fhv.at/en/employees/natalia-burkina-phd-13327</x:v>
      </x:c>
      <x:c r="N14" s="32" t="n">
        <x:v>46262</x:v>
      </x:c>
      <x:c r="O14" s="29" t="str">
        <x:v>Not requested</x:v>
      </x:c>
      <x:c r="P14" s="29" t="str">
        <x:v>Internal research only — permission required</x:v>
      </x:c>
    </x:row>
    <x:row r="15">
      <x:c r="A15" s="30" t="n">
        <x:v>36</x:v>
      </x:c>
      <x:c r="B15" s="29" t="str">
        <x:v>Nataliia Hrabska</x:v>
      </x:c>
      <x:c r="C15" s="29" t="str">
        <x:v>INSO / ISRM Ukraine</x:v>
      </x:c>
      <x:c r="D15" s="29" t="str">
        <x:v>Training Officer and Security Specialist; Women in Strategic Risk and Young Professionals</x:v>
      </x:c>
      <x:c r="E15" s="29" t="str">
        <x:v>Humanitarian security training and responsible security practice</x:v>
      </x:c>
      <x:c r="F15" s="29" t="str">
        <x:v>Works in Ukraine’s humanitarian-security environment and participated in discussion on responsible private security and human rights. Public sources show a possible role conflict requiring confirmation.</x:v>
      </x:c>
      <x:c r="G15" s="29" t="str">
        <x:v>Training and responsible security provision in a high-risk humanitarian setting</x:v>
      </x:c>
      <x:c r="H15" s="29" t="str">
        <x:v>Human-rights-aware security management and practitioner development</x:v>
      </x:c>
      <x:c r="I15" s="29" t="str">
        <x:v>Trainer; programme lead; case contributor</x:v>
      </x:c>
      <x:c r="J15" s="29" t="str">
        <x:v>Which training practices measurably improve behaviour and safety in Ukraine?</x:v>
      </x:c>
      <x:c r="K15" s="29" t="str">
        <x:v>Documented public activity; current role requires confirmation</x:v>
      </x:c>
      <x:c r="L15" s="29" t="str">
        <x:v>https://ca.linkedin.com/in/nataliia-hrabska-71396b252</x:v>
      </x:c>
      <x:c r="M15" s="29" t="str">
        <x:v>https://www.linkedin.com/posts/ihor-bezkaravainyi-b0559225a_good-discussion-in-kyiv-with-icoca-for-activity-7472582168683134978-4rf2</x:v>
      </x:c>
      <x:c r="N15" s="32" t="n">
        <x:v>46262</x:v>
      </x:c>
      <x:c r="O15" s="29" t="str">
        <x:v>Not requested</x:v>
      </x:c>
      <x:c r="P15" s="29" t="str">
        <x:v>Internal research only — permission required</x:v>
      </x:c>
    </x:row>
    <x:row r="16">
      <x:c r="A16" s="30" t="n">
        <x:v>41</x:v>
      </x:c>
      <x:c r="B16" s="29" t="str">
        <x:v>Oleksandr Churkin</x:v>
      </x:c>
      <x:c r="C16" s="29" t="str">
        <x:v>IITC / UniTech Ukraine</x:v>
      </x:c>
      <x:c r="D16" s="29" t="str">
        <x:v>Founder and CEO / co-founder</x:v>
      </x:c>
      <x:c r="E16" s="29" t="str">
        <x:v>Industrial innovation, manufacturing efficiency and energy efficiency</x:v>
      </x:c>
      <x:c r="F16" s="29" t="str">
        <x:v>Leads initiatives focused on stronger, more efficient Ukrainian industry; a discrete wartime implementation case requires interview verification.</x:v>
      </x:c>
      <x:c r="G16" s="29" t="str">
        <x:v>Industrial capability as a foundation of national resilience</x:v>
      </x:c>
      <x:c r="H16" s="29" t="str">
        <x:v>Manufacturing productivity and energy efficiency in constrained economies</x:v>
      </x:c>
      <x:c r="I16" s="29" t="str">
        <x:v>Industry speaker; innovation partner; case contributor</x:v>
      </x:c>
      <x:c r="J16" s="29" t="str">
        <x:v>Which industrial changes proved most important once Ukraine entered prolonged war?</x:v>
      </x:c>
      <x:c r="K16" s="29" t="str">
        <x:v>Public organisational profile; case interview required</x:v>
      </x:c>
      <x:c r="L16" s="29" t="str">
        <x:v>https://www.iitc.org.ua/en/about-us/</x:v>
      </x:c>
      <x:c r="M16" s="29" t="str">
        <x:v>https://www.iitc.org.ua/en/</x:v>
      </x:c>
      <x:c r="N16" s="32" t="n">
        <x:v>46262</x:v>
      </x:c>
      <x:c r="O16" s="29" t="str">
        <x:v>Not requested</x:v>
      </x:c>
      <x:c r="P16" s="29" t="str">
        <x:v>Internal research only — permission required</x:v>
      </x:c>
    </x:row>
    <x:row r="17">
      <x:c r="A17" s="30" t="n">
        <x:v>42</x:v>
      </x:c>
      <x:c r="B17" s="29" t="str">
        <x:v>Olena Goroshko</x:v>
      </x:c>
      <x:c r="C17" s="29" t="str">
        <x:v>National Technical University Kharkiv Polytechnic Institute / ISRM Ukraine</x:v>
      </x:c>
      <x:c r="D17" s="29" t="str">
        <x:v>Professor; Partnerships liaison</x:v>
      </x:c>
      <x:c r="E17" s="29" t="str">
        <x:v>Academic partnerships, communication and education</x:v>
      </x:c>
      <x:c r="F17" s="29" t="str">
        <x:v>Official chapter and academic roles confirmed; no specific public wartime case identified.</x:v>
      </x:c>
      <x:c r="G17" s="29" t="str">
        <x:v>Academic continuity, partnership-building and communication during war</x:v>
      </x:c>
      <x:c r="H17" s="29" t="str">
        <x:v>University resilience and cross-sector knowledge exchange</x:v>
      </x:c>
      <x:c r="I17" s="29" t="str">
        <x:v>Partnership lead; academic speaker; reviewer</x:v>
      </x:c>
      <x:c r="J17" s="29" t="str">
        <x:v>How did Kharkiv’s academic community preserve teaching, trust and international cooperation under attack?</x:v>
      </x:c>
      <x:c r="K17" s="29" t="str">
        <x:v>Official chapter and public academic profile; case interview required</x:v>
      </x:c>
      <x:c r="L17" s="29" t="str">
        <x:v>https://www.theisrm.org/international-chapters/ukraine-chapter/</x:v>
      </x:c>
      <x:c r="M17" s="29" t="str">
        <x:v>https://ua.linkedin.com/in/olena-goroshko-8180359</x:v>
      </x:c>
      <x:c r="N17" s="32" t="n">
        <x:v>46262</x:v>
      </x:c>
      <x:c r="O17" s="29" t="str">
        <x:v>Not requested</x:v>
      </x:c>
      <x:c r="P17" s="29" t="str">
        <x:v>Internal research only — permission required</x:v>
      </x:c>
    </x:row>
    <x:row r="18">
      <x:c r="A18" s="30" t="n">
        <x:v>45</x:v>
      </x:c>
      <x:c r="B18" s="29" t="str">
        <x:v>Peter Ott</x:v>
      </x:c>
      <x:c r="C18" s="29" t="str">
        <x:v>ISRM Ukraine / humanitarian security sector</x:v>
      </x:c>
      <x:c r="D18" s="29" t="str">
        <x:v>Young Professionals and Mentoring Adviser</x:v>
      </x:c>
      <x:c r="E18" s="29" t="str">
        <x:v>Operations, crisis management, learning and humanitarian security</x:v>
      </x:c>
      <x:c r="F18" s="29" t="str">
        <x:v>Public profile indicates Ukraine-related humanitarian and security work; detailed case not publicly documented.</x:v>
      </x:c>
      <x:c r="G18" s="29" t="str">
        <x:v>Mentoring the next generation of crisis and security professionals</x:v>
      </x:c>
      <x:c r="H18" s="29" t="str">
        <x:v>Professional development and operational learning in high-risk contexts</x:v>
      </x:c>
      <x:c r="I18" s="29" t="str">
        <x:v>Mentor; trainer; programme designer</x:v>
      </x:c>
      <x:c r="J18" s="29" t="str">
        <x:v>What capabilities do young professionals need that conventional security training still misses?</x:v>
      </x:c>
      <x:c r="K18" s="29" t="str">
        <x:v>Official chapter and public professional profile; case interview required</x:v>
      </x:c>
      <x:c r="L18" s="29" t="str">
        <x:v>https://www.theisrm.org/international-chapters/ukraine-chapter/</x:v>
      </x:c>
      <x:c r="M18" s="29" t="str">
        <x:v>https://ua.linkedin.com/in/peterott36605972</x:v>
      </x:c>
      <x:c r="N18" s="32" t="n">
        <x:v>46262</x:v>
      </x:c>
      <x:c r="O18" s="29" t="str">
        <x:v>Not requested</x:v>
      </x:c>
      <x:c r="P18" s="29" t="str">
        <x:v>Internal research only — permission required</x:v>
      </x:c>
    </x:row>
    <x:row r="19">
      <x:c r="A19" s="30" t="n">
        <x:v>48</x:v>
      </x:c>
      <x:c r="B19" s="29" t="str">
        <x:v>Petro Babyak</x:v>
      </x:c>
      <x:c r="C19" s="29" t="str">
        <x:v>Mercy Corps</x:v>
      </x:c>
      <x:c r="D19" s="29" t="str">
        <x:v>Security, Safety and Access Director</x:v>
      </x:c>
      <x:c r="E19" s="29" t="str">
        <x:v>Humanitarian security, access and duty of care</x:v>
      </x:c>
      <x:c r="F19" s="29" t="str">
        <x:v>Senior humanitarian safety and security practitioner in Ukraine and contributor to sector research on evolving security-risk management.</x:v>
      </x:c>
      <x:c r="G19" s="29" t="str">
        <x:v>Balancing access, acceptance and duty of care in a technologically changing war</x:v>
      </x:c>
      <x:c r="H19" s="29" t="str">
        <x:v>Humanitarian security governance in active conflict</x:v>
      </x:c>
      <x:c r="I19" s="29" t="str">
        <x:v>Senior practitioner speaker; author; standards contributor</x:v>
      </x:c>
      <x:c r="J19" s="29" t="str">
        <x:v>Which Ukraine practices should become standard across humanitarian security?</x:v>
      </x:c>
      <x:c r="K19" s="29" t="str">
        <x:v>Documented public Ukraine role and sector research</x:v>
      </x:c>
      <x:c r="L19" s="29" t="str">
        <x:v>https://ua.linkedin.com/in/petro-babyak-srmp-c-75701427</x:v>
      </x:c>
      <x:c r="M19" s="29" t="str">
        <x:v>https://www.researchgate.net/publication/378395023_State_of_Practice_The_Evolution_of_Security_Risk_Management_in_the_Humanitarian_Space</x:v>
      </x:c>
      <x:c r="N19" s="32" t="n">
        <x:v>46262</x:v>
      </x:c>
      <x:c r="O19" s="29" t="str">
        <x:v>Not requested</x:v>
      </x:c>
      <x:c r="P19" s="29" t="str">
        <x:v>Internal research only — permission required</x:v>
      </x:c>
    </x:row>
    <x:row r="20">
      <x:c r="A20" s="30" t="n">
        <x:v>50</x:v>
      </x:c>
      <x:c r="B20" s="29" t="str">
        <x:v>John Price</x:v>
      </x:c>
      <x:c r="C20" s="29" t="str">
        <x:v>ISRM Ukraine / humanitarian security sector</x:v>
      </x:c>
      <x:c r="D20" s="29" t="str">
        <x:v>Ukraine Chapter Advisory; security professional</x:v>
      </x:c>
      <x:c r="E20" s="29" t="str">
        <x:v>Humanitarian safety and security coordination</x:v>
      </x:c>
      <x:c r="F20" s="29" t="str">
        <x:v>Public sector report identifies experience as Oxfam’s country safety and security coordinator in Ukraine; current employer should be confirmed.</x:v>
      </x:c>
      <x:c r="G20" s="29" t="str">
        <x:v>Country-level security coordination for humanitarian operations</x:v>
      </x:c>
      <x:c r="H20" s="29" t="str">
        <x:v>Duty of care, coordination and organisational security systems</x:v>
      </x:c>
      <x:c r="I20" s="29" t="str">
        <x:v>Chapter adviser; speaker; interview contributor</x:v>
      </x:c>
      <x:c r="J20" s="29" t="str">
        <x:v>Where do international NGO security systems still fit Ukraine poorly?</x:v>
      </x:c>
      <x:c r="K20" s="29" t="str">
        <x:v>Documented past/public Ukraine role; current role requires confirmation</x:v>
      </x:c>
      <x:c r="L20" s="29" t="str">
        <x:v>https://www.theisrm.org/international-chapters/ukraine-chapter/</x:v>
      </x:c>
      <x:c r="M20" s="29" t="str">
        <x:v>https://www.researchgate.net/publication/378395023_State_of_Practice_The_Evolution_of_Security_Risk_Management_in_the_Humanitarian_Space</x:v>
      </x:c>
      <x:c r="N20" s="32" t="n">
        <x:v>46262</x:v>
      </x:c>
      <x:c r="O20" s="29" t="str">
        <x:v>Not requested</x:v>
      </x:c>
      <x:c r="P20" s="29" t="str">
        <x:v>Internal research only — permission required</x:v>
      </x:c>
    </x:row>
    <x:row r="21">
      <x:c r="A21" s="30" t="n">
        <x:v>52</x:v>
      </x:c>
      <x:c r="B21" s="29" t="str">
        <x:v>Revaz Tchirakadze</x:v>
      </x:c>
      <x:c r="C21" s="29" t="str">
        <x:v>OSCE Support Programme for Ukraine</x:v>
      </x:c>
      <x:c r="D21" s="29" t="str">
        <x:v>Security Officer</x:v>
      </x:c>
      <x:c r="E21" s="29" t="str">
        <x:v>Organisational security, crisis readiness and high-risk staff preparation</x:v>
      </x:c>
      <x:c r="F21" s="29" t="str">
        <x:v>Supports OSCE operations in Ukraine and crisis-readiness measures informed by experience from the former Special Monitoring Mission.</x:v>
      </x:c>
      <x:c r="G21" s="29" t="str">
        <x:v>Preparing international personnel for hybrid and high-risk threats</x:v>
      </x:c>
      <x:c r="H21" s="29" t="str">
        <x:v>HEAT, organisational readiness and field-security systems</x:v>
      </x:c>
      <x:c r="I21" s="29" t="str">
        <x:v>Practitioner speaker; training contributor; institutional bridge</x:v>
      </x:c>
      <x:c r="J21" s="29" t="str">
        <x:v>Which lessons from the SMM most changed current OSCE crisis-readiness practice?</x:v>
      </x:c>
      <x:c r="K21" s="29" t="str">
        <x:v>Documented public Ukraine case</x:v>
      </x:c>
      <x:c r="L21" s="29" t="str">
        <x:v>https://www.osce.org/node/662803</x:v>
      </x:c>
      <x:c r="M21" s="29" t="str">
        <x:v>https://ua.linkedin.com/in/revaz-tchirakadze-74759048</x:v>
      </x:c>
      <x:c r="N21" s="32" t="n">
        <x:v>46262</x:v>
      </x:c>
      <x:c r="O21" s="29" t="str">
        <x:v>Not requested</x:v>
      </x:c>
      <x:c r="P21" s="29" t="str">
        <x:v>Internal research only — permission required</x:v>
      </x:c>
    </x:row>
    <x:row r="22">
      <x:c r="A22" s="30" t="n">
        <x:v>53</x:v>
      </x:c>
      <x:c r="B22" s="29" t="str">
        <x:v>Robin Seaword</x:v>
      </x:c>
      <x:c r="C22" s="29" t="str">
        <x:v>SSR Consulting</x:v>
      </x:c>
      <x:c r="D22" s="29" t="str">
        <x:v>Security Sector Reform consultant</x:v>
      </x:c>
      <x:c r="E22" s="29" t="str">
        <x:v>Security-sector reform, defence advice and institutional governance</x:v>
      </x:c>
      <x:c r="F22" s="29" t="str">
        <x:v>Former UK defence adviser/deputy adviser in Ukraine; no specific post-2022 public case identified.</x:v>
      </x:c>
      <x:c r="G22" s="29" t="str">
        <x:v>Building accountable security institutions before and during crisis</x:v>
      </x:c>
      <x:c r="H22" s="29" t="str">
        <x:v>Security-sector governance and international advisory missions</x:v>
      </x:c>
      <x:c r="I22" s="29" t="str">
        <x:v>Governance speaker; senior adviser; case reviewer</x:v>
      </x:c>
      <x:c r="J22" s="29" t="str">
        <x:v>Which pre-2022 reform efforts created real wartime resilience, and which did not?</x:v>
      </x:c>
      <x:c r="K22" s="29" t="str">
        <x:v>Documented Ukraine advisory experience; case interview required</x:v>
      </x:c>
      <x:c r="L22" s="29" t="str">
        <x:v>https://uk.linkedin.com/in/robinseaword</x:v>
      </x:c>
      <x:c r="M22" s="29" t="str">
        <x:v>https://niss.gov.ua/en/news/niss-news/september-23-oleksandr-lytvynenko-niss-director-met-ms-linda-smith-united-kingdoms</x:v>
      </x:c>
      <x:c r="N22" s="32" t="n">
        <x:v>46262</x:v>
      </x:c>
      <x:c r="O22" s="29" t="str">
        <x:v>Not requested</x:v>
      </x:c>
      <x:c r="P22" s="29" t="str">
        <x:v>Internal research only — permission required</x:v>
      </x:c>
    </x:row>
    <x:row r="23">
      <x:c r="A23" s="30" t="n">
        <x:v>55</x:v>
      </x:c>
      <x:c r="B23" s="29" t="str">
        <x:v>Roman Cioma</x:v>
      </x:c>
      <x:c r="C23" s="29" t="str">
        <x:v>UN Women Ukraine</x:v>
      </x:c>
      <x:c r="D23" s="29" t="str">
        <x:v>Security Specialist</x:v>
      </x:c>
      <x:c r="E23" s="29" t="str">
        <x:v>UN and humanitarian security management</x:v>
      </x:c>
      <x:c r="F23" s="29" t="str">
        <x:v>Current public profile confirms a UN Women security role in Ukraine; no detailed public operational case found.</x:v>
      </x:c>
      <x:c r="G23" s="29" t="str">
        <x:v>Security systems for inclusive humanitarian and development programming</x:v>
      </x:c>
      <x:c r="H23" s="29" t="str">
        <x:v>UN duty of care and programme-security integration</x:v>
      </x:c>
      <x:c r="I23" s="29" t="str">
        <x:v>Practitioner interviewee; gender-and-security contributor</x:v>
      </x:c>
      <x:c r="J23" s="29" t="str">
        <x:v>How does programme design change when security risks affect groups differently?</x:v>
      </x:c>
      <x:c r="K23" s="29" t="str">
        <x:v>Public professional profile; case interview required</x:v>
      </x:c>
      <x:c r="L23" s="29" t="str">
        <x:v>https://uk.linkedin.com/in/roman-cioma-2616199</x:v>
      </x:c>
      <x:c r="M23" s="29"/>
      <x:c r="N23" s="32" t="n">
        <x:v>46262</x:v>
      </x:c>
      <x:c r="O23" s="29" t="str">
        <x:v>Not requested</x:v>
      </x:c>
      <x:c r="P23" s="29" t="str">
        <x:v>Internal research only — permission required</x:v>
      </x:c>
    </x:row>
    <x:row r="24">
      <x:c r="A24" s="30" t="n">
        <x:v>57</x:v>
      </x:c>
      <x:c r="B24" s="29" t="str">
        <x:v>Rudy Vandaele-Kennedy</x:v>
      </x:c>
      <x:c r="C24" s="29" t="str">
        <x:v>Cadro</x:v>
      </x:c>
      <x:c r="D24" s="29" t="str">
        <x:v>Senior Client Adviser</x:v>
      </x:c>
      <x:c r="E24" s="29" t="str">
        <x:v>Strategic advisory, geopolitical risk and leadership in conflict environments</x:v>
      </x:c>
      <x:c r="F24" s="29" t="str">
        <x:v>No direct public Ukraine field case identified; has comparative experience including senior policy work in Iraq during war.</x:v>
      </x:c>
      <x:c r="G24" s="29" t="str">
        <x:v>Comparative leadership and policy-making in conflict environments</x:v>
      </x:c>
      <x:c r="H24" s="29" t="str">
        <x:v>Geopolitical risk and senior decision-making under instability</x:v>
      </x:c>
      <x:c r="I24" s="29" t="str">
        <x:v>Comparative-case speaker; senior mentor</x:v>
      </x:c>
      <x:c r="J24" s="29" t="str">
        <x:v>Which lessons from Iraq are useful for Ukraine, and where does the comparison fail?</x:v>
      </x:c>
      <x:c r="K24" s="29" t="str">
        <x:v>Documented comparative conflict experience; Ukraine case not established</x:v>
      </x:c>
      <x:c r="L24" s="29" t="str">
        <x:v>https://www.linkedin.com/posts/cadrotech_a-very-warm-welcome-to-cadros-newest-senior-activity-7445474569886253056-R8JN</x:v>
      </x:c>
      <x:c r="M24" s="29" t="str">
        <x:v>https://uk.linkedin.com/in/rudyvandaelekennedy</x:v>
      </x:c>
      <x:c r="N24" s="32" t="n">
        <x:v>46262</x:v>
      </x:c>
      <x:c r="O24" s="29" t="str">
        <x:v>Not requested</x:v>
      </x:c>
      <x:c r="P24" s="29" t="str">
        <x:v>Internal research only — permission required</x:v>
      </x:c>
    </x:row>
    <x:row r="25">
      <x:c r="A25" s="30" t="n">
        <x:v>58</x:v>
      </x:c>
      <x:c r="B25" s="29" t="str">
        <x:v>Rusudan Makhachashvili</x:v>
      </x:c>
      <x:c r="C25" s="29" t="str">
        <x:v>Borys Grinchenko Kyiv Metropolitan University / ISRM Ukraine</x:v>
      </x:c>
      <x:c r="D25" s="29" t="str">
        <x:v>Professor; Academic Liaison</x:v>
      </x:c>
      <x:c r="E25" s="29" t="str">
        <x:v>Digital education, AI, linguistics and knowledge resilience</x:v>
      </x:c>
      <x:c r="F25" s="29" t="str">
        <x:v>Public work covers AI and digital education, resilience, e-governance and a Glossary of War; contributed to ISRM cross-sector resilience discussion.</x:v>
      </x:c>
      <x:c r="G25" s="29" t="str">
        <x:v>How language, AI and digital education preserve knowledge during war</x:v>
      </x:c>
      <x:c r="H25" s="29" t="str">
        <x:v>Education continuity, information resilience and responsible AI</x:v>
      </x:c>
      <x:c r="I25" s="29" t="str">
        <x:v>Academic lead; author; conference speaker</x:v>
      </x:c>
      <x:c r="J25" s="29" t="str">
        <x:v>Which digital adaptations in Ukrainian education should be retained after the war?</x:v>
      </x:c>
      <x:c r="K25" s="29" t="str">
        <x:v>Documented public Ukraine research and activity</x:v>
      </x:c>
      <x:c r="L25" s="29" t="str">
        <x:v>https://www.researchgate.net/profile/Rusudan-Makhachashvili</x:v>
      </x:c>
      <x:c r="M25" s="29" t="str">
        <x:v>https://www.linkedin.com/posts/the-isrm_isrm-strategicrisk-resilience-activity-7476979034652901376-tfF-</x:v>
      </x:c>
      <x:c r="N25" s="32" t="n">
        <x:v>46262</x:v>
      </x:c>
      <x:c r="O25" s="29" t="str">
        <x:v>Not requested</x:v>
      </x:c>
      <x:c r="P25" s="29" t="str">
        <x:v>Internal research only — permission required</x:v>
      </x:c>
    </x:row>
    <x:row r="26">
      <x:c r="A26" s="30" t="n">
        <x:v>69</x:v>
      </x:c>
      <x:c r="B26" s="29" t="str">
        <x:v>Tara Neitzey</x:v>
      </x:c>
      <x:c r="C26" s="29" t="str">
        <x:v>Ukrainian Patriot</x:v>
      </x:c>
      <x:c r="D26" s="29" t="str">
        <x:v>Board Chair / Treasurer / operations contributor</x:v>
      </x:c>
      <x:c r="E26" s="29" t="str">
        <x:v>Humanitarian logistics, nonprofit governance and international fundraising</x:v>
      </x:c>
      <x:c r="F26" s="29" t="str">
        <x:v>Supports humanitarian logistics, medical and mental-health assistance for communities in eastern and southern Ukraine and oversees US-side governance and finances.</x:v>
      </x:c>
      <x:c r="G26" s="29" t="str">
        <x:v>Small-network humanitarian delivery across borders and near front lines</x:v>
      </x:c>
      <x:c r="H26" s="29" t="str">
        <x:v>Diaspora mobilisation, accountable aid and agile logistics</x:v>
      </x:c>
      <x:c r="I26" s="29" t="str">
        <x:v>Humanitarian speaker; nonprofit-governance contributor; connector</x:v>
      </x:c>
      <x:c r="J26" s="29" t="str">
        <x:v>What allowed a small organisation to move aid quickly without losing accountability?</x:v>
      </x:c>
      <x:c r="K26" s="29" t="str">
        <x:v>Documented public Ukraine activity</x:v>
      </x:c>
      <x:c r="L26" s="29" t="str">
        <x:v>https://ukrainianpatriot.org/wp-content/uploads/2025/04/Ukrainian_Patriot_Impact_Report_2024_low_res.pdf</x:v>
      </x:c>
      <x:c r="M26" s="29" t="str">
        <x:v>https://rausi.ca/component/eventbooking/associate-events/keeping-freedom-alive-supporting-ukraine-through-humanitarian-action</x:v>
      </x:c>
      <x:c r="N26" s="32" t="n">
        <x:v>46262</x:v>
      </x:c>
      <x:c r="O26" s="29" t="str">
        <x:v>Not requested</x:v>
      </x:c>
      <x:c r="P26" s="29" t="str">
        <x:v>Internal research only — permission required</x:v>
      </x:c>
    </x:row>
    <x:row r="27">
      <x:c r="A27" s="30" t="n">
        <x:v>78</x:v>
      </x:c>
      <x:c r="B27" s="29" t="str">
        <x:v>Viktor Riabokin</x:v>
      </x:c>
      <x:c r="C27" s="29" t="str">
        <x:v>Harvard Ukraine programme / Vidbudova</x:v>
      </x:c>
      <x:c r="D27" s="29" t="str">
        <x:v>Senior Adviser, Global Partnerships</x:v>
      </x:c>
      <x:c r="E27" s="29" t="str">
        <x:v>Sustainable reconstruction and international partnerships</x:v>
      </x:c>
      <x:c r="F27" s="29" t="str">
        <x:v>Organises and advises initiatives on sustainable reconstruction, healthy buildings and global partnerships for rebuilding Ukraine.</x:v>
      </x:c>
      <x:c r="G27" s="29" t="str">
        <x:v>Turning wartime destruction into safer, sustainable reconstruction</x:v>
      </x:c>
      <x:c r="H27" s="29" t="str">
        <x:v>Reconstruction governance, standards and partnership design</x:v>
      </x:c>
      <x:c r="I27" s="29" t="str">
        <x:v>Reconstruction speaker; partnership lead; programme adviser</x:v>
      </x:c>
      <x:c r="J27" s="29" t="str">
        <x:v>Which decisions made now will most affect the safety and sustainability of reconstruction?</x:v>
      </x:c>
      <x:c r="K27" s="29" t="str">
        <x:v>Documented public Ukraine reconstruction activity</x:v>
      </x:c>
      <x:c r="L27" s="29" t="str">
        <x:v>https://healthybuildings.hsph.harvard.edu/education/advancing-sustainable-development-of-ukraine/</x:v>
      </x:c>
      <x:c r="M27" s="29" t="str">
        <x:v>https://www.usgbc.org/articles/preparing-sustainable-reconstruction-ukraine</x:v>
      </x:c>
      <x:c r="N27" s="32" t="n">
        <x:v>46262</x:v>
      </x:c>
      <x:c r="O27" s="29" t="str">
        <x:v>Not requested</x:v>
      </x:c>
      <x:c r="P27" s="29" t="str">
        <x:v>Internal research only — permission required</x:v>
      </x:c>
    </x:row>
    <x:row r="28">
      <x:c r="A28" s="30" t="n">
        <x:v>79</x:v>
      </x:c>
      <x:c r="B28" s="29" t="str">
        <x:v>Vitalii Stoliarchuk</x:v>
      </x:c>
      <x:c r="C28" s="29" t="str">
        <x:v>State Design Office Yuzhnoye / aerospace R&amp;D</x:v>
      </x:c>
      <x:c r="D28" s="29" t="str">
        <x:v>Testing engineer and research leader</x:v>
      </x:c>
      <x:c r="E28" s="29" t="str">
        <x:v>Aerospace testing, complex engineering systems and R&amp;D quality</x:v>
      </x:c>
      <x:c r="F28" s="29" t="str">
        <x:v>Public profile documents Ukrainian aerospace and rocket-system testing expertise; no operational defence claim is made.</x:v>
      </x:c>
      <x:c r="G28" s="29" t="str">
        <x:v>Maintaining quality and safety in complex engineering under national stress</x:v>
      </x:c>
      <x:c r="H28" s="29" t="str">
        <x:v>High-reliability engineering, testing governance and dual-use innovation</x:v>
      </x:c>
      <x:c r="I28" s="29" t="str">
        <x:v>Technical speaker; research contributor; innovation mentor</x:v>
      </x:c>
      <x:c r="J28" s="29" t="str">
        <x:v>How have wartime constraints changed testing, quality assurance and R&amp;D continuity?</x:v>
      </x:c>
      <x:c r="K28" s="29" t="str">
        <x:v>Documented public technical profile; security review required</x:v>
      </x:c>
      <x:c r="L28" s="29" t="str">
        <x:v>https://www.b2match.com/e/cl4-digital-2025/participants/2951742</x:v>
      </x:c>
      <x:c r="M28" s="29" t="str">
        <x:v>https://vitaliistoliarchuk.cv/</x:v>
      </x:c>
      <x:c r="N28" s="32" t="n">
        <x:v>46262</x:v>
      </x:c>
      <x:c r="O28" s="29" t="str">
        <x:v>Not requested</x:v>
      </x:c>
      <x:c r="P28" s="29" t="str">
        <x:v>Internal research only — permission required</x:v>
      </x:c>
    </x:row>
    <x:row r="29">
      <x:c r="A29" s="30" t="n">
        <x:v>80</x:v>
      </x:c>
      <x:c r="B29" s="29" t="str">
        <x:v>Vitaly Muraviev</x:v>
      </x:c>
      <x:c r="C29" s="29" t="str">
        <x:v>Independent</x:v>
      </x:c>
      <x:c r="D29" s="29" t="str">
        <x:v>Freelance Consultant</x:v>
      </x:c>
      <x:c r="E29" s="29" t="str">
        <x:v>Not sufficiently established from reliable public sources</x:v>
      </x:c>
      <x:c r="F29" s="29" t="str">
        <x:v>No reliable public wartime case identified; avoid confusion with namesakes.</x:v>
      </x:c>
      <x:c r="G29" s="29" t="str">
        <x:v>To be defined through identity and expertise interview</x:v>
      </x:c>
      <x:c r="H29" s="29" t="str">
        <x:v>Not assessable yet</x:v>
      </x:c>
      <x:c r="I29" s="29" t="str">
        <x:v>Profile verification first</x:v>
      </x:c>
      <x:c r="J29" s="29" t="str">
        <x:v>What is your current professional focus and which Ukraine experience would you be willing to contribute?</x:v>
      </x:c>
      <x:c r="K29" s="29" t="str">
        <x:v>Limited public evidence; interview required</x:v>
      </x:c>
      <x:c r="L29" s="29" t="str">
        <x:v>https://ua.linkedin.com/in/vitaly-muraviev-48a7434</x:v>
      </x:c>
      <x:c r="M29" s="29"/>
      <x:c r="N29" s="32" t="n">
        <x:v>46262</x:v>
      </x:c>
      <x:c r="O29" s="29" t="str">
        <x:v>Not requested</x:v>
      </x:c>
      <x:c r="P29" s="29" t="str">
        <x:v>Internal research only — permission required</x:v>
      </x:c>
    </x:row>
    <x:row r="30">
      <x:c r="A30" s="30" t="n">
        <x:v>85</x:v>
      </x:c>
      <x:c r="B30" s="29" t="str">
        <x:v>Yomi Kleinmann</x:v>
      </x:c>
      <x:c r="C30" s="29" t="str">
        <x:v>Nonviolent Peaceforce Ukraine</x:v>
      </x:c>
      <x:c r="D30" s="29" t="str">
        <x:v>Head of Programmes</x:v>
      </x:c>
      <x:c r="E30" s="29" t="str">
        <x:v>Civilian protection, locally led humanitarian action and duty of care</x:v>
      </x:c>
      <x:c r="F30" s="29" t="str">
        <x:v>Helped develop protection and early-warning practice, including frequency analysers that warn humanitarian teams of FPV-drone threats during evacuations and aid delivery.</x:v>
      </x:c>
      <x:c r="G30" s="29" t="str">
        <x:v>Adapting civilian protection as battlefield technology changes</x:v>
      </x:c>
      <x:c r="H30" s="29" t="str">
        <x:v>Responsible technology, early warning and locally led protection</x:v>
      </x:c>
      <x:c r="I30" s="29" t="str">
        <x:v>Senior humanitarian speaker; case author; programme partner</x:v>
      </x:c>
      <x:c r="J30" s="29" t="str">
        <x:v>How should humanitarian organisations evaluate protective technology without creating new harm?</x:v>
      </x:c>
      <x:c r="K30" s="29" t="str">
        <x:v>Documented public Ukraine case</x:v>
      </x:c>
      <x:c r="L30" s="29" t="str">
        <x:v>https://nonviolentpeaceforce.org/nonviolent-peaceforce-rolls-out-frequency-analysers-in-ukraine-to-help-protect-civilians-from-attacks/</x:v>
      </x:c>
      <x:c r="M30" s="29" t="str">
        <x:v>https://en.interfax.com.ua/news/press-announcement/1119442.html</x:v>
      </x:c>
      <x:c r="N30" s="32" t="n">
        <x:v>46262</x:v>
      </x:c>
      <x:c r="O30" s="29" t="str">
        <x:v>Not requested</x:v>
      </x:c>
      <x:c r="P30" s="29" t="str">
        <x:v>Internal research only — permission required</x:v>
      </x:c>
    </x:row>
    <x:row r="31">
      <x:c r="A31" s="30" t="n">
        <x:v>90</x:v>
      </x:c>
      <x:c r="B31" s="29" t="str">
        <x:v>Iryna “Khoi” Hoi</x:v>
      </x:c>
      <x:c r="C31" s="29" t="str">
        <x:v>Azov.Care / 12th Azov support unit / Pharmaxi</x:v>
      </x:c>
      <x:c r="D31" s="29" t="str">
        <x:v>Founder; Head of Medical Division; business-development leader</x:v>
      </x:c>
      <x:c r="E31" s="29" t="str">
        <x:v>Frontline medical leadership, veteran/family support and decisions under uncertainty</x:v>
      </x:c>
      <x:c r="F31" s="29" t="str">
        <x:v>Public talks describe medical leadership where imperfect but viable decisions must be made quickly and errors can cost lives; also works on POW, veteran and family support.</x:v>
      </x:c>
      <x:c r="G31" s="29" t="str">
        <x:v>A new ethics of leadership when decisions carry immediate human consequences</x:v>
      </x:c>
      <x:c r="H31" s="29" t="str">
        <x:v>Crisis leadership, medical command and veteran ecosystems</x:v>
      </x:c>
      <x:c r="I31" s="29" t="str">
        <x:v>Keynote speaker; leadership case author; women-in-risk mentor</x:v>
      </x:c>
      <x:c r="J31" s="29" t="str">
        <x:v>How do teams learn to make fast, morally defensible decisions with incomplete information?</x:v>
      </x:c>
      <x:c r="K31" s="29" t="str">
        <x:v>Documented public Ukraine case</x:v>
      </x:c>
      <x:c r="L31" s="29" t="str">
        <x:v>https://lvbs.com.ua/en/news-en/gerard-seijts-iryna-hoi-and-georg-von-nolcken-on-the-new-ethics-of-ukrainian-leadership/</x:v>
      </x:c>
      <x:c r="M31" s="29" t="str">
        <x:v>https://www.kspa-ngo.com/veterans-impact-forum-agenda</x:v>
      </x:c>
      <x:c r="N31" s="32" t="n">
        <x:v>46262</x:v>
      </x:c>
      <x:c r="O31" s="29" t="str">
        <x:v>Not requested</x:v>
      </x:c>
      <x:c r="P31" s="29" t="str">
        <x:v>Internal research only — permission required</x:v>
      </x:c>
    </x:row>
    <x:row r="32">
      <x:c r="A32" s="30" t="n">
        <x:v>94</x:v>
      </x:c>
      <x:c r="B32" s="29" t="str">
        <x:v>Oleksandr Ionin</x:v>
      </x:c>
      <x:c r="C32" s="29" t="str">
        <x:v>Riley Risk</x:v>
      </x:c>
      <x:c r="D32" s="29" t="str">
        <x:v>Country Security Adviser</x:v>
      </x:c>
      <x:c r="E32" s="29" t="str">
        <x:v>Country risk, security analysis and operational reporting</x:v>
      </x:c>
      <x:c r="F32" s="29" t="str">
        <x:v>Contributes to Ukraine situation and country-access reporting; the most detailed documents found were third-party copies and should be validated with Riley Risk.</x:v>
      </x:c>
      <x:c r="G32" s="29" t="str">
        <x:v>Converting a fast-moving threat picture into operational decisions</x:v>
      </x:c>
      <x:c r="H32" s="29" t="str">
        <x:v>Country-risk reporting and decision support in active conflict</x:v>
      </x:c>
      <x:c r="I32" s="29" t="str">
        <x:v>Analyst speaker; briefing contributor; case-study author</x:v>
      </x:c>
      <x:c r="J32" s="29" t="str">
        <x:v>Which indicators are most useful for clients, and which create false confidence?</x:v>
      </x:c>
      <x:c r="K32" s="29" t="str">
        <x:v>Public professional role; case material requires source validation</x:v>
      </x:c>
      <x:c r="L32" s="29" t="str">
        <x:v>https://ua.linkedin.com/in/oleksandr-ionin-225aa61b4</x:v>
      </x:c>
      <x:c r="M32" s="29" t="str">
        <x:v>https://www.scribd.com/document/857369943/Ukraine-Daily-SITREP-12022024</x:v>
      </x:c>
      <x:c r="N32" s="32" t="n">
        <x:v>46262</x:v>
      </x:c>
      <x:c r="O32" s="29" t="str">
        <x:v>Not requested</x:v>
      </x:c>
      <x:c r="P32" s="29" t="str">
        <x:v>Internal research only — permission required</x:v>
      </x:c>
    </x:row>
    <x:row r="33">
      <x:c r="A33" s="30" t="n">
        <x:v>97</x:v>
      </x:c>
      <x:c r="B33" s="29" t="str">
        <x:v>Serhii Hrabskyi</x:v>
      </x:c>
      <x:c r="C33" s="29" t="str">
        <x:v>Independent / media</x:v>
      </x:c>
      <x:c r="D33" s="29" t="str">
        <x:v>Reserve Colonel and military-security commentator</x:v>
      </x:c>
      <x:c r="E33" s="29" t="str">
        <x:v>Military analysis, force development and strategic communication</x:v>
      </x:c>
      <x:c r="F33" s="29" t="str">
        <x:v>Regular public analysis of mobilisation, weapons, campaign duration and operational adaptation in the full-scale war.</x:v>
      </x:c>
      <x:c r="G33" s="29" t="str">
        <x:v>Explaining prolonged, technology-intensive war to decision-makers and the public</x:v>
      </x:c>
      <x:c r="H33" s="29" t="str">
        <x:v>Force resilience, mobilisation and strategic communication</x:v>
      </x:c>
      <x:c r="I33" s="29" t="str">
        <x:v>Military-risk speaker; scenario contributor; analyst</x:v>
      </x:c>
      <x:c r="J33" s="29" t="str">
        <x:v>Which public assumptions about the war most distort organisational risk planning?</x:v>
      </x:c>
      <x:c r="K33" s="29" t="str">
        <x:v>Documented public Ukraine analysis</x:v>
      </x:c>
      <x:c r="L33" s="29" t="str">
        <x:v>https://newsukraine.rbc.ua/expert</x:v>
      </x:c>
      <x:c r="M33" s="29" t="str">
        <x:v>https://newsukraine.rbc.ua/news/protracted-war-what-could-happen-at-ukraine-1697114400.html</x:v>
      </x:c>
      <x:c r="N33" s="32" t="n">
        <x:v>46262</x:v>
      </x:c>
      <x:c r="O33" s="29" t="str">
        <x:v>Not requested</x:v>
      </x:c>
      <x:c r="P33" s="29" t="str">
        <x:v>Internal research only — permission required</x:v>
      </x:c>
    </x:row>
    <x:row r="34">
      <x:c r="A34" s="30" t="n">
        <x:v>98</x:v>
      </x:c>
      <x:c r="B34" s="29" t="str">
        <x:v>Serhii Hubiak</x:v>
      </x:c>
      <x:c r="C34" s="29" t="str">
        <x:v>Osprey Global Solutions Ukraine</x:v>
      </x:c>
      <x:c r="D34" s="29" t="str">
        <x:v>Chairman and co-founder</x:v>
      </x:c>
      <x:c r="E34" s="29" t="str">
        <x:v>Legal-government affairs, public-private initiatives, demining and recovery programmes</x:v>
      </x:c>
      <x:c r="F34" s="29" t="str">
        <x:v>Co-leads a US–Ukraine initiative delivering training, EOD/demining, medical assistance, rehabilitation and recovery projects.</x:v>
      </x:c>
      <x:c r="G34" s="29" t="str">
        <x:v>Building public-private delivery structures for recovery and demining</x:v>
      </x:c>
      <x:c r="H34" s="29" t="str">
        <x:v>Civil-military cooperation, EOD capacity and recovery governance</x:v>
      </x:c>
      <x:c r="I34" s="29" t="str">
        <x:v>Institutional partner; speaker; legal/governance contributor</x:v>
      </x:c>
      <x:c r="J34" s="29" t="str">
        <x:v>What governance model best connects international expertise with Ukrainian ownership?</x:v>
      </x:c>
      <x:c r="K34" s="29" t="str">
        <x:v>Documented public Ukraine activity</x:v>
      </x:c>
      <x:c r="L34" s="29" t="str">
        <x:v>https://ogs-ua.fund/</x:v>
      </x:c>
      <x:c r="M34" s="29" t="str">
        <x:v>https://www.linkedin.com/posts/osprey-global-solutions-ukraine_we-continue-to-introduce-our-team-serhii-activity-7121104574051950592-llAz</x:v>
      </x:c>
      <x:c r="N34" s="32" t="n">
        <x:v>46262</x:v>
      </x:c>
      <x:c r="O34" s="29" t="str">
        <x:v>Not requested</x:v>
      </x:c>
      <x:c r="P34" s="29" t="str">
        <x:v>Internal research only — permission required</x:v>
      </x:c>
    </x:row>
    <x:row r="35">
      <x:c r="A35" s="30" t="n">
        <x:v>139</x:v>
      </x:c>
      <x:c r="B35" s="29" t="str">
        <x:v>Anastasiya Marchuk</x:v>
      </x:c>
      <x:c r="C35" s="29" t="str">
        <x:v>Nonviolent Peaceforce Ukraine</x:v>
      </x:c>
      <x:c r="D35" s="29" t="str">
        <x:v>Head of Mission</x:v>
      </x:c>
      <x:c r="E35" s="29" t="str">
        <x:v>Civilian protection, local humanitarian response and mission leadership</x:v>
      </x:c>
      <x:c r="F35" s="29" t="str">
        <x:v>Leads NP’s Ukraine mission; public cases include local protection, community assessment and rapid adaptation to drone threats through frequency analysers.</x:v>
      </x:c>
      <x:c r="G35" s="29" t="str">
        <x:v>Locally led protection in a war where threats and humanitarian needs change together</x:v>
      </x:c>
      <x:c r="H35" s="29" t="str">
        <x:v>Unarmed civilian protection, localisation and adaptive mission leadership</x:v>
      </x:c>
      <x:c r="I35" s="29" t="str">
        <x:v>Keynote speaker; case author; humanitarian partner</x:v>
      </x:c>
      <x:c r="J35" s="29" t="str">
        <x:v>What have local Ukrainian partners taught international organisations about protection and decision speed?</x:v>
      </x:c>
      <x:c r="K35" s="29" t="str">
        <x:v>Documented public Ukraine case</x:v>
      </x:c>
      <x:c r="L35" s="29" t="str">
        <x:v>https://nonviolentpeaceforce.org/ukraine/</x:v>
      </x:c>
      <x:c r="M35" s="29" t="str">
        <x:v>https://nonviolentpeaceforce.org/nonviolent-peaceforce-rolls-out-frequency-analysers-in-ukraine-to-help-protect-civilians-from-attacks/</x:v>
      </x:c>
      <x:c r="N35" s="32" t="n">
        <x:v>46262</x:v>
      </x:c>
      <x:c r="O35" s="29" t="str">
        <x:v>Not requested</x:v>
      </x:c>
      <x:c r="P35" s="29" t="str">
        <x:v>Internal research only — permission required</x:v>
      </x:c>
    </x:row>
    <x:row r="36">
      <x:c r="A36" s="30" t="n">
        <x:v>141</x:v>
      </x:c>
      <x:c r="B36" s="29" t="str">
        <x:v>Andrii Lukashenko</x:v>
      </x:c>
      <x:c r="C36" s="29" t="str">
        <x:v>SmartRiskSolutions Ukraine / ISRM Ukraine</x:v>
      </x:c>
      <x:c r="D36" s="29" t="str">
        <x:v>Founder and Deputy Director; Chapter Vice-Chair</x:v>
      </x:c>
      <x:c r="E36" s="29" t="str">
        <x:v>Security risk, crisis preparedness and resilience</x:v>
      </x:c>
      <x:c r="F36" s="29" t="str">
        <x:v>Over 30 years across military, diplomatic, international and private-sector settings; former OSCE SMM and Ukrainian Armed Forces; advises organisations in high-risk Ukraine.</x:v>
      </x:c>
      <x:c r="G36" s="29" t="str">
        <x:v>Integrating military, diplomatic and private-sector risk practice</x:v>
      </x:c>
      <x:c r="H36" s="29" t="str">
        <x:v>Crisis preparedness and cross-sector resilience in high-risk markets</x:v>
      </x:c>
      <x:c r="I36" s="29" t="str">
        <x:v>Chapter leader; trainer; senior speaker; mentor</x:v>
      </x:c>
      <x:c r="J36" s="29" t="str">
        <x:v>Which cross-sector practices consistently improve preparedness, and which fail during real crises?</x:v>
      </x:c>
      <x:c r="K36" s="29" t="str">
        <x:v>Official chapter biography and public professional profile</x:v>
      </x:c>
      <x:c r="L36" s="29" t="str">
        <x:v>https://www.theisrm.org/isrm-announces-ukraine-chapter/</x:v>
      </x:c>
      <x:c r="M36" s="29" t="str">
        <x:v>https://alukashenko.com/en/pro-mene</x:v>
      </x:c>
      <x:c r="N36" s="32" t="n">
        <x:v>46262</x:v>
      </x:c>
      <x:c r="O36" s="29" t="str">
        <x:v>Not requested</x:v>
      </x:c>
      <x:c r="P36" s="29" t="str">
        <x:v>Internal research only — permission required</x:v>
      </x:c>
    </x:row>
    <x:row r="37">
      <x:c r="A37" s="30" t="n">
        <x:v>150</x:v>
      </x:c>
      <x:c r="B37" s="29" t="str">
        <x:v>Camille Pajor</x:v>
      </x:c>
      <x:c r="C37" s="29" t="str">
        <x:v>Adapted Relief Collective</x:v>
      </x:c>
      <x:c r="D37" s="29" t="str">
        <x:v>Humanitarian professional</x:v>
      </x:c>
      <x:c r="E37" s="29" t="str">
        <x:v>Humanitarian response and locally adapted relief</x:v>
      </x:c>
      <x:c r="F37" s="29" t="str">
        <x:v>Public profile places the person and organisation in Ukraine, but no reliable detailed wartime case was found.</x:v>
      </x:c>
      <x:c r="G37" s="29" t="str">
        <x:v>Adapting relief models to local capacity and changing needs</x:v>
      </x:c>
      <x:c r="H37" s="29" t="str">
        <x:v>Locally adapted humanitarian delivery</x:v>
      </x:c>
      <x:c r="I37" s="29" t="str">
        <x:v>Practitioner interviewee; humanitarian contributor</x:v>
      </x:c>
      <x:c r="J37" s="29" t="str">
        <x:v>What has Adapted Relief Collective changed because conventional aid models did not fit Ukraine?</x:v>
      </x:c>
      <x:c r="K37" s="29" t="str">
        <x:v>Public professional profile; case interview required</x:v>
      </x:c>
      <x:c r="L37" s="29" t="str">
        <x:v>https://ua.linkedin.com/in/camillepajor</x:v>
      </x:c>
      <x:c r="M37" s="29"/>
      <x:c r="N37" s="32" t="n">
        <x:v>46262</x:v>
      </x:c>
      <x:c r="O37" s="29" t="str">
        <x:v>Not requested</x:v>
      </x:c>
      <x:c r="P37" s="29" t="str">
        <x:v>Internal research only — permission required</x:v>
      </x:c>
    </x:row>
    <x:row r="38">
      <x:c r="A38" s="30" t="n">
        <x:v>151</x:v>
      </x:c>
      <x:c r="B38" s="29" t="str">
        <x:v>Carl Robinson</x:v>
      </x:c>
      <x:c r="C38" s="29" t="str">
        <x:v>Oxfam Ukraine</x:v>
      </x:c>
      <x:c r="D38" s="29" t="str">
        <x:v>Country Safety and Security Coordinator</x:v>
      </x:c>
      <x:c r="E38" s="29" t="str">
        <x:v>Humanitarian safety, security coordination and duty of care</x:v>
      </x:c>
      <x:c r="F38" s="29" t="str">
        <x:v>Public profile confirms country-level responsibility for staff safety and humanitarian operations in Ukraine since 2023.</x:v>
      </x:c>
      <x:c r="G38" s="29" t="str">
        <x:v>Maintaining humanitarian access while protecting staff across a dispersed war zone</x:v>
      </x:c>
      <x:c r="H38" s="29" t="str">
        <x:v>Country security systems for large humanitarian organisations</x:v>
      </x:c>
      <x:c r="I38" s="29" t="str">
        <x:v>Practitioner speaker; case contributor; standards reviewer</x:v>
      </x:c>
      <x:c r="J38" s="29" t="str">
        <x:v>Which security controls protect people without unnecessarily restricting programme delivery?</x:v>
      </x:c>
      <x:c r="K38" s="29" t="str">
        <x:v>Documented public Ukraine role; detailed case interview required</x:v>
      </x:c>
      <x:c r="L38" s="29" t="str">
        <x:v>https://hk.linkedin.com/in/carl-robinson-ba91b920</x:v>
      </x:c>
      <x:c r="M38" s="29" t="str">
        <x:v>https://theorg.com/org/oxfam/org-chart/carl-robinson</x:v>
      </x:c>
      <x:c r="N38" s="32" t="n">
        <x:v>46262</x:v>
      </x:c>
      <x:c r="O38" s="29" t="str">
        <x:v>Not requested</x:v>
      </x:c>
      <x:c r="P38" s="29" t="str">
        <x:v>Internal research only — permission required</x:v>
      </x:c>
    </x:row>
    <x:row r="39">
      <x:c r="A39" s="30" t="n">
        <x:v>152</x:v>
      </x:c>
      <x:c r="B39" s="29" t="str">
        <x:v>Cassie Blackett-Ord</x:v>
      </x:c>
      <x:c r="C39" s="29" t="str">
        <x:v>ActionAid International</x:v>
      </x:c>
      <x:c r="D39" s="29" t="str">
        <x:v>Global Security Lead; INSSA Board Chair</x:v>
      </x:c>
      <x:c r="E39" s="29" t="str">
        <x:v>Humanitarian security, crisis management and sector standards</x:v>
      </x:c>
      <x:c r="F39" s="29" t="str">
        <x:v>Public activity links her to ActionAid’s Eastern Europe/Ukraine operating context and to debate on drone warfare and duty of care.</x:v>
      </x:c>
      <x:c r="G39" s="29" t="str">
        <x:v>How humanitarian security standards must evolve with drone warfare</x:v>
      </x:c>
      <x:c r="H39" s="29" t="str">
        <x:v>Global duty-of-care policy and practitioner standards</x:v>
      </x:c>
      <x:c r="I39" s="29" t="str">
        <x:v>Senior speaker; standards partner; training adviser</x:v>
      </x:c>
      <x:c r="J39" s="29" t="str">
        <x:v>What does Ukraine reveal that global humanitarian security standards have not yet absorbed?</x:v>
      </x:c>
      <x:c r="K39" s="29" t="str">
        <x:v>Documented public professional activity; Ukraine case interview required</x:v>
      </x:c>
      <x:c r="L39" s="29" t="str">
        <x:v>https://www.linkedin.com/posts/cassie-blackett-ord-906398102_drone-warfare-is-tragically-transforming-activity-7447293484170035200-yZnO</x:v>
      </x:c>
      <x:c r="M39" s="29" t="str">
        <x:v>https://www.linkedin.com/company/alliance-ua-cso/</x:v>
      </x:c>
      <x:c r="N39" s="32" t="n">
        <x:v>46262</x:v>
      </x:c>
      <x:c r="O39" s="29" t="str">
        <x:v>Not requested</x:v>
      </x:c>
      <x:c r="P39" s="29" t="str">
        <x:v>Internal research only — permission required</x:v>
      </x:c>
    </x:row>
    <x:row r="40">
      <x:c r="A40" s="30" t="n">
        <x:v>153</x:v>
      </x:c>
      <x:c r="B40" s="29" t="str">
        <x:v>Charlie Hutchinson</x:v>
      </x:c>
      <x:c r="C40" s="29" t="str">
        <x:v>Spearfish Security</x:v>
      </x:c>
      <x:c r="D40" s="29" t="str">
        <x:v>Ukraine and Eastern Europe Regional Manager</x:v>
      </x:c>
      <x:c r="E40" s="29" t="str">
        <x:v>Security-risk management, high-risk training and operational reporting</x:v>
      </x:c>
      <x:c r="F40" s="29" t="str">
        <x:v>Resident in Ukraine since 2015; delivers journey management, Ukraine-specific HEAT, drone/rail threat reporting and practical support for organisations.</x:v>
      </x:c>
      <x:c r="G40" s="29" t="str">
        <x:v>How travel, training and operational security changed under drones and infrastructure attacks</x:v>
      </x:c>
      <x:c r="H40" s="29" t="str">
        <x:v>High-risk travel, HEAT design and real-time operational support</x:v>
      </x:c>
      <x:c r="I40" s="29" t="str">
        <x:v>Trainer; practitioner speaker; case-study author</x:v>
      </x:c>
      <x:c r="J40" s="29" t="str">
        <x:v>Which Ukraine threat adaptations should immediately change global HEAT and journey-management curricula?</x:v>
      </x:c>
      <x:c r="K40" s="29" t="str">
        <x:v>Documented public Ukraine case</x:v>
      </x:c>
      <x:c r="L40" s="29" t="str">
        <x:v>https://spear-fish.com/about/</x:v>
      </x:c>
      <x:c r="M40" s="29" t="str">
        <x:v>https://ng.linkedin.com/company/spearfishsecurity</x:v>
      </x:c>
      <x:c r="N40" s="32" t="n">
        <x:v>46262</x:v>
      </x:c>
      <x:c r="O40" s="29" t="str">
        <x:v>Not requested</x:v>
      </x:c>
      <x:c r="P40" s="29" t="str">
        <x:v>Internal research only — permission required</x:v>
      </x:c>
    </x:row>
    <x:row r="41">
      <x:c r="A41" s="30" t="n">
        <x:v>157</x:v>
      </x:c>
      <x:c r="B41" s="29" t="str">
        <x:v>Damon Farrell</x:v>
      </x:c>
      <x:c r="C41" s="29" t="str">
        <x:v>Forward Global Markets / Forward UA</x:v>
      </x:c>
      <x:c r="D41" s="29" t="str">
        <x:v>Founder and CEO</x:v>
      </x:c>
      <x:c r="E41" s="29" t="str">
        <x:v>Trade infrastructure, export support and market access</x:v>
      </x:c>
      <x:c r="F41" s="29" t="str">
        <x:v>Building Forward UA to help Ukrainian enterprises access global markets and align trade facilitation with reconstruction initiatives.</x:v>
      </x:c>
      <x:c r="G41" s="29" t="str">
        <x:v>Keeping Ukrainian SMEs connected to global trade during war and reconstruction</x:v>
      </x:c>
      <x:c r="H41" s="29" t="str">
        <x:v>Digital trade infrastructure and economic resilience</x:v>
      </x:c>
      <x:c r="I41" s="29" t="str">
        <x:v>Business speaker; reconstruction partner; economic-resilience contributor</x:v>
      </x:c>
      <x:c r="J41" s="29" t="str">
        <x:v>Which trade bottlenecks are structural, and which can be removed through better digital and institutional design?</x:v>
      </x:c>
      <x:c r="K41" s="29" t="str">
        <x:v>Documented public Ukraine activity</x:v>
      </x:c>
      <x:c r="L41" s="29" t="str">
        <x:v>https://uk.linkedin.com/in/damon-kern-farrell-29a34983</x:v>
      </x:c>
      <x:c r="M41" s="29" t="str">
        <x:v>https://www.linkedin.com/posts/damon-kern-farrell-29a34983_forwardua-ukrainebusiness-exportsupport-activity-7391006248856551424-Geuk</x:v>
      </x:c>
      <x:c r="N41" s="32" t="n">
        <x:v>46262</x:v>
      </x:c>
      <x:c r="O41" s="29" t="str">
        <x:v>Not requested</x:v>
      </x:c>
      <x:c r="P41" s="29" t="str">
        <x:v>Internal research only — permission required</x:v>
      </x:c>
    </x:row>
    <x:row r="42">
      <x:c r="A42" s="30" t="n">
        <x:v>160</x:v>
      </x:c>
      <x:c r="B42" s="29" t="str">
        <x:v>David Plaster</x:v>
      </x:c>
      <x:c r="C42" s="29" t="str">
        <x:v>Anomaly / Kyiv Center for Defense Policy</x:v>
      </x:c>
      <x:c r="D42" s="29" t="str">
        <x:v>Founder and Chairman; co-founder</x:v>
      </x:c>
      <x:c r="E42" s="29" t="str">
        <x:v>Combat medicine, medical preparedness and defence-policy support</x:v>
      </x:c>
      <x:c r="F42" s="29" t="str">
        <x:v>Former US Army medic in Ukraine since 2011; served as a medic on Maidan and in Donbas and now advances medical training and preparedness.</x:v>
      </x:c>
      <x:c r="G42" s="29" t="str">
        <x:v>Building lifesaving medical capability from volunteer action to durable institutions</x:v>
      </x:c>
      <x:c r="H42" s="29" t="str">
        <x:v>Combat medicine, civilian preparedness and veteran-led innovation</x:v>
      </x:c>
      <x:c r="I42" s="29" t="str">
        <x:v>Keynote speaker; training partner; case author</x:v>
      </x:c>
      <x:c r="J42" s="29" t="str">
        <x:v>Which medical-preparedness practices saved the most lives, and what remains institutionally fragile?</x:v>
      </x:c>
      <x:c r="K42" s="29" t="str">
        <x:v>Documented public Ukraine case</x:v>
      </x:c>
      <x:c r="L42" s="29" t="str">
        <x:v>https://anomaly.org.ua/about/</x:v>
      </x:c>
      <x:c r="M42" s="29" t="str">
        <x:v>https://www.hoover.org/profiles/david-plaster</x:v>
      </x:c>
      <x:c r="N42" s="32" t="n">
        <x:v>46262</x:v>
      </x:c>
      <x:c r="O42" s="29" t="str">
        <x:v>Not requested</x:v>
      </x:c>
      <x:c r="P42" s="29" t="str">
        <x:v>Internal research only — permission required</x:v>
      </x:c>
    </x:row>
    <x:row r="43">
      <x:c r="A43" s="30" t="n">
        <x:v>161</x:v>
      </x:c>
      <x:c r="B43" s="29" t="str">
        <x:v>David Francis Blanc</x:v>
      </x:c>
      <x:c r="C43" s="29" t="str">
        <x:v>Independent</x:v>
      </x:c>
      <x:c r="D43" s="29" t="str">
        <x:v>Writer; former soldier and police officer</x:v>
      </x:c>
      <x:c r="E43" s="29" t="str">
        <x:v>Public commentary, policing and personal conflict experience</x:v>
      </x:c>
      <x:c r="F43" s="29" t="str">
        <x:v>Writer based in Ukraine who publishes commentary on the war and security; no organisational operating case identified.</x:v>
      </x:c>
      <x:c r="G43" s="29" t="str">
        <x:v>Public narratives, security perceptions and lived experience of war</x:v>
      </x:c>
      <x:c r="H43" s="29" t="str">
        <x:v>Strategic communication and public understanding</x:v>
      </x:c>
      <x:c r="I43" s="29" t="str">
        <x:v>Commentator or writing contributor after editorial review</x:v>
      </x:c>
      <x:c r="J43" s="29" t="str">
        <x:v>What do outside audiences consistently misunderstand about daily risk and resilience in Ukraine?</x:v>
      </x:c>
      <x:c r="K43" s="29" t="str">
        <x:v>Public writing profile; professional case interview required</x:v>
      </x:c>
      <x:c r="L43" s="29" t="str">
        <x:v>https://medium.com/@davidfrancisblanc_37502/trump-whats-his-deal-a9891b8d5394</x:v>
      </x:c>
      <x:c r="M43" s="29" t="str">
        <x:v>https://medium.com/@davidfrancisblanc_37502/a-dmz-must-have-teeth-by-david-francis-blanc-28904eb57896</x:v>
      </x:c>
      <x:c r="N43" s="32" t="n">
        <x:v>46262</x:v>
      </x:c>
      <x:c r="O43" s="29" t="str">
        <x:v>Not requested</x:v>
      </x:c>
      <x:c r="P43" s="29" t="str">
        <x:v>Internal research only — permission required</x:v>
      </x:c>
    </x:row>
    <x:row r="44">
      <x:c r="A44" s="30" t="n">
        <x:v>162</x:v>
      </x:c>
      <x:c r="B44" s="29" t="str">
        <x:v>David Rubens</x:v>
      </x:c>
      <x:c r="C44" s="29" t="str">
        <x:v>Institute of Strategic Risk Management</x:v>
      </x:c>
      <x:c r="D44" s="29" t="str">
        <x:v>Founder and Executive Director</x:v>
      </x:c>
      <x:c r="E44" s="29" t="str">
        <x:v>Strategic risk, crisis leadership and international professional networks</x:v>
      </x:c>
      <x:c r="F44" s="29" t="str">
        <x:v>Multiple wartime visits and institutional engagements in Ukraine, including NSDC-linked reconstruction dialogue and a 2026 lecture at the National Academy of Security Services.</x:v>
      </x:c>
      <x:c r="G44" s="29" t="str">
        <x:v>Turning Ukraine’s lived experience into an international strategic-risk body of knowledge</x:v>
      </x:c>
      <x:c r="H44" s="29" t="str">
        <x:v>Global professional standards, education and institutional partnerships</x:v>
      </x:c>
      <x:c r="I44" s="29" t="str">
        <x:v>Executive sponsor; editorial lead; international convenor</x:v>
      </x:c>
      <x:c r="J44" s="29" t="str">
        <x:v>What governance is needed to turn Ukrainian lessons into credible global ISRM knowledge products?</x:v>
      </x:c>
      <x:c r="K44" s="29" t="str">
        <x:v>Documented public Ukraine engagement</x:v>
      </x:c>
      <x:c r="L44" s="29" t="str">
        <x:v>https://www.theisrm.org/ongoing-isrm-support-for-ukraine/</x:v>
      </x:c>
      <x:c r="M44" s="29" t="str">
        <x:v>https://www.theisrm.org/david-rubens-delivered-a-lecture-at-national-academy-of-security-services-of-ukraine/</x:v>
      </x:c>
      <x:c r="N44" s="32" t="n">
        <x:v>46262</x:v>
      </x:c>
      <x:c r="O44" s="29" t="str">
        <x:v>Not requested</x:v>
      </x:c>
      <x:c r="P44" s="29" t="str">
        <x:v>Internal research only — permission required</x:v>
      </x:c>
    </x:row>
    <x:row r="45">
      <x:c r="A45" s="30" t="n">
        <x:v>164</x:v>
      </x:c>
      <x:c r="B45" s="29" t="str">
        <x:v>Dmytro Drizhd</x:v>
      </x:c>
      <x:c r="C45" s="29" t="str">
        <x:v>Independent / humanitarian sector</x:v>
      </x:c>
      <x:c r="D45" s="29" t="str">
        <x:v>Former Head of Mission, arche noVa Ukraine</x:v>
      </x:c>
      <x:c r="E45" s="29" t="str">
        <x:v>Humanitarian mission start-up, WASH, emergency relief and localisation</x:v>
      </x:c>
      <x:c r="F45" s="29" t="str">
        <x:v>Built arche noVa’s Ukraine mission from spring 2022 during unprecedented humanitarian need; earlier led local partner New Way in eastern Ukraine. Left the role in 2026.</x:v>
      </x:c>
      <x:c r="G45" s="29" t="str">
        <x:v>Rapidly building a humanitarian mission through trust, local partners and shared values</x:v>
      </x:c>
      <x:c r="H45" s="29" t="str">
        <x:v>Mission start-up, localisation, WASH and leadership under prolonged crisis</x:v>
      </x:c>
      <x:c r="I45" s="29" t="str">
        <x:v>Humanitarian leader; case author; mentor</x:v>
      </x:c>
      <x:c r="J45" s="29" t="str">
        <x:v>What enabled rapid scale without sacrificing local ownership or team trust?</x:v>
      </x:c>
      <x:c r="K45" s="29" t="str">
        <x:v>Documented public Ukraine case; current next role unknown</x:v>
      </x:c>
      <x:c r="L45" s="29" t="str">
        <x:v>https://www.linkedin.com/posts/dmytro-drizhd-3599aa18a_today-is-my-last-working-day-as-head-of-mission-activity-7423027456070070272-uVvc</x:v>
      </x:c>
      <x:c r="M45" s="29" t="str">
        <x:v>https://arche-nova.org/en/node/1925</x:v>
      </x:c>
      <x:c r="N45" s="32" t="n">
        <x:v>46262</x:v>
      </x:c>
      <x:c r="O45" s="29" t="str">
        <x:v>Not requested</x:v>
      </x:c>
      <x:c r="P45" s="29" t="str">
        <x:v>Internal research only — permission required</x:v>
      </x:c>
    </x:row>
    <x:row r="46">
      <x:c r="A46" s="30" t="n">
        <x:v>166</x:v>
      </x:c>
      <x:c r="B46" s="29" t="str">
        <x:v>Ermina Strutinschi</x:v>
      </x:c>
      <x:c r="C46" s="29" t="str">
        <x:v>Vesper Group Ukraine</x:v>
      </x:c>
      <x:c r="D46" s="29" t="str">
        <x:v>Kyiv-based Analyst</x:v>
      </x:c>
      <x:c r="E46" s="29" t="str">
        <x:v>Security analysis, country risk and business-operating conditions</x:v>
      </x:c>
      <x:c r="F46" s="29" t="str">
        <x:v>Provides differentiated analysis of front-line distance, weapons ranges, air attacks, civilian casualties and implications for government stability and business operations.</x:v>
      </x:c>
      <x:c r="G46" s="29" t="str">
        <x:v>Why ‘Ukraine risk’ cannot be treated as one uniform national risk level</x:v>
      </x:c>
      <x:c r="H46" s="29" t="str">
        <x:v>Geographic risk segmentation and responsible market entry</x:v>
      </x:c>
      <x:c r="I46" s="29" t="str">
        <x:v>Analyst speaker; business-risk briefing contributor</x:v>
      </x:c>
      <x:c r="J46" s="29" t="str">
        <x:v>Which geographic and political indicators best distinguish manageable risk from unacceptable exposure?</x:v>
      </x:c>
      <x:c r="K46" s="29" t="str">
        <x:v>Documented public Ukraine case</x:v>
      </x:c>
      <x:c r="L46" s="29" t="str">
        <x:v>https://vespergroup.se/en/security-and-safety-achieving-business-goals-in-ukraine/</x:v>
      </x:c>
      <x:c r="M46" s="29" t="str">
        <x:v>https://ua.linkedin.com/in/ermina-strutinschi-03676239</x:v>
      </x:c>
      <x:c r="N46" s="32" t="n">
        <x:v>46262</x:v>
      </x:c>
      <x:c r="O46" s="29" t="str">
        <x:v>Not requested</x:v>
      </x:c>
      <x:c r="P46" s="29" t="str">
        <x:v>Internal research only — permission required</x:v>
      </x:c>
    </x:row>
    <x:row r="47">
      <x:c r="A47" s="30" t="n">
        <x:v>173</x:v>
      </x:c>
      <x:c r="B47" s="29" t="str">
        <x:v>Hanna Zavolodko</x:v>
      </x:c>
      <x:c r="C47" s="29" t="str">
        <x:v>National Technical University Kharkiv Polytechnic Institute / ISRM Ukraine</x:v>
      </x:c>
      <x:c r="D47" s="29" t="str">
        <x:v>Associate Professor; Academic Liaison</x:v>
      </x:c>
      <x:c r="E47" s="29" t="str">
        <x:v>Digital systems, engineering education and professional communities</x:v>
      </x:c>
      <x:c r="F47" s="29" t="str">
        <x:v>Academic leadership in Kharkiv and ISRM; public activity emphasises resilience through capability, tabletop exercises and international STEM networks.</x:v>
      </x:c>
      <x:c r="G47" s="29" t="str">
        <x:v>Capability, not only capacity: preparing universities and teams to act in crisis</x:v>
      </x:c>
      <x:c r="H47" s="29" t="str">
        <x:v>Academic resilience, STEM networks and crisis exercises</x:v>
      </x:c>
      <x:c r="I47" s="29" t="str">
        <x:v>Academic liaison; webinar host; research contributor</x:v>
      </x:c>
      <x:c r="J47" s="29" t="str">
        <x:v>Which university capabilities proved decisive during attacks and prolonged disruption?</x:v>
      </x:c>
      <x:c r="K47" s="29" t="str">
        <x:v>Documented public academic and ISRM activity</x:v>
      </x:c>
      <x:c r="L47" s="29" t="str">
        <x:v>https://www.kpi.kharkov.ua/eng/2026/07/03/national-technical-university-kharkiv-polytechnic-institute-brought-together-female-stem-leaders/</x:v>
      </x:c>
      <x:c r="M47" s="29" t="str">
        <x:v>https://www.linkedin.com/posts/hanna-zavolodko_%D0%B0-valuable-reminder-that-resilience-is-built-activity-7478566031406350336-2BJQ</x:v>
      </x:c>
      <x:c r="N47" s="32" t="n">
        <x:v>46262</x:v>
      </x:c>
      <x:c r="O47" s="29" t="str">
        <x:v>Not requested</x:v>
      </x:c>
      <x:c r="P47" s="29" t="str">
        <x:v>Internal research only — permission required</x:v>
      </x:c>
    </x:row>
    <x:row r="48">
      <x:c r="A48" s="30" t="n">
        <x:v>174</x:v>
      </x:c>
      <x:c r="B48" s="29" t="str">
        <x:v>Ian Spence</x:v>
      </x:c>
      <x:c r="C48" s="29" t="str">
        <x:v>INSO Ukraine / ISRM Ukraine</x:v>
      </x:c>
      <x:c r="D48" s="29" t="str">
        <x:v>Country Director; Ukraine Chapter Chair</x:v>
      </x:c>
      <x:c r="E48" s="29" t="str">
        <x:v>Humanitarian security, strategic risk, resilience and crisis leadership</x:v>
      </x:c>
      <x:c r="F48" s="29" t="str">
        <x:v>Leads INSO Ukraine supporting humanitarian organisations in a complex operating environment; over 20 years in military, law-enforcement and high-risk roles.</x:v>
      </x:c>
      <x:c r="G48" s="29" t="str">
        <x:v>Building a shared humanitarian-security picture across a large and changing conflict</x:v>
      </x:c>
      <x:c r="H48" s="29" t="str">
        <x:v>Humanitarian information systems, coordination and crisis leadership</x:v>
      </x:c>
      <x:c r="I48" s="29" t="str">
        <x:v>Chapter chair; keynote speaker; institutional connector</x:v>
      </x:c>
      <x:c r="J48" s="29" t="str">
        <x:v>What has Ukraine changed about how the humanitarian sector shares risk information and coordinates decisions?</x:v>
      </x:c>
      <x:c r="K48" s="29" t="str">
        <x:v>Official chapter biography and public professional profile</x:v>
      </x:c>
      <x:c r="L48" s="29" t="str">
        <x:v>https://www.theisrm.org/isrm-announces-ukraine-chapter/</x:v>
      </x:c>
      <x:c r="M48" s="29" t="str">
        <x:v>https://uk.linkedin.com/in/ian-spence-876b581</x:v>
      </x:c>
      <x:c r="N48" s="32" t="n">
        <x:v>46262</x:v>
      </x:c>
      <x:c r="O48" s="29" t="str">
        <x:v>Not requested</x:v>
      </x:c>
      <x:c r="P48" s="29" t="str">
        <x:v>Internal research only — permission required</x:v>
      </x:c>
    </x:row>
    <x:row r="49">
      <x:c r="A49" s="30" t="n">
        <x:v>177</x:v>
      </x:c>
      <x:c r="B49" s="29" t="str">
        <x:v>Iurii Pastushenko</x:v>
      </x:c>
      <x:c r="C49" s="29" t="str">
        <x:v>ASB Ukraine</x:v>
      </x:c>
      <x:c r="D49" s="29" t="str">
        <x:v>Country Security Manager</x:v>
      </x:c>
      <x:c r="E49" s="29" t="str">
        <x:v>NGO security-risk management</x:v>
      </x:c>
      <x:c r="F49" s="29" t="str">
        <x:v>Public profile confirms country-level security management for ASB Ukraine; no detailed operational case was publicly identified.</x:v>
      </x:c>
      <x:c r="G49" s="29" t="str">
        <x:v>Security decision-making for an NGO operating from Kharkiv and across Ukraine</x:v>
      </x:c>
      <x:c r="H49" s="29" t="str">
        <x:v>NGO duty of care and decentralised security management</x:v>
      </x:c>
      <x:c r="I49" s="29" t="str">
        <x:v>Practitioner interviewee; regional case contributor</x:v>
      </x:c>
      <x:c r="J49" s="29" t="str">
        <x:v>Which risks and decisions differ most between Kharkiv-based operations and national-level planning?</x:v>
      </x:c>
      <x:c r="K49" s="29" t="str">
        <x:v>Public professional profile; case interview required</x:v>
      </x:c>
      <x:c r="L49" s="29" t="str">
        <x:v>https://ua.linkedin.com/in/iurii-pastushenko-896392248</x:v>
      </x:c>
      <x:c r="M49" s="29"/>
      <x:c r="N49" s="32" t="n">
        <x:v>46262</x:v>
      </x:c>
      <x:c r="O49" s="29" t="str">
        <x:v>Not requested</x:v>
      </x:c>
      <x:c r="P49" s="29" t="str">
        <x:v>Internal research only — permission required</x:v>
      </x:c>
    </x:row>
  </x:sheetData>
  <x:mergeCells>
    <x:mergeCell ref="A1:P1"/>
    <x:mergeCell ref="A2:P2"/>
  </x:mergeCells>
  <x:dataValidations count="2">
    <x:dataValidation type="list" sqref="O5:O49">
      <x:formula1>"Not requested,Invitation drafted,Interview agreed,Interview completed,Declined"</x:formula1>
    </x:dataValidation>
    <x:dataValidation type="list" sqref="P5:P49">
      <x:formula1>"Internal research only — permission required,Security review required,Permission to publish recorded,Do not publish"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eaf0895d5f41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28" hidden="0" customWidth="1"/>
    <x:col min="4" max="4" width="31" hidden="0" customWidth="1"/>
    <x:col min="5" max="5" width="31" hidden="0" customWidth="1"/>
    <x:col min="6" max="6" width="11" hidden="0" customWidth="1"/>
    <x:col min="7" max="7" width="24" hidden="0" customWidth="1"/>
    <x:col min="8" max="8" width="41" hidden="0" customWidth="1"/>
    <x:col min="9" max="9" width="44" hidden="0" customWidth="1"/>
    <x:col min="10" max="10" width="48" hidden="0" customWidth="1"/>
    <x:col min="11" max="11" width="50" hidden="0" customWidth="1"/>
    <x:col min="12" max="12" width="15" hidden="0" customWidth="1"/>
    <x:col min="13" max="13" width="24" hidden="0" customWidth="1"/>
    <x:col min="14" max="14" width="15" hidden="0" customWidth="1"/>
    <x:col min="15" max="15" width="15" hidden="0" customWidth="1"/>
    <x:col min="16" max="16" width="50" hidden="0" customWidth="1"/>
  </x:cols>
  <x:sheetData>
    <x:row r="1" ht="31" customHeight="1">
      <x:c r="A1" s="4" t="str">
        <x:v>ISRM Ukraine — Engagement Pipeline</x:v>
      </x:c>
      <x:c r="B1" s="4" t="str">
        <x:v>ISRM Ukraine — Engagement Pipeline</x:v>
      </x:c>
      <x:c r="C1" s="4" t="str">
        <x:v>ISRM Ukraine — Engagement Pipeline</x:v>
      </x:c>
      <x:c r="D1" s="4" t="str">
        <x:v>ISRM Ukraine — Engagement Pipeline</x:v>
      </x:c>
      <x:c r="E1" s="4" t="str">
        <x:v>ISRM Ukraine — Engagement Pipeline</x:v>
      </x:c>
      <x:c r="F1" s="4" t="str">
        <x:v>ISRM Ukraine — Engagement Pipeline</x:v>
      </x:c>
      <x:c r="G1" s="4" t="str">
        <x:v>ISRM Ukraine — Engagement Pipeline</x:v>
      </x:c>
      <x:c r="H1" s="4" t="str">
        <x:v>ISRM Ukraine — Engagement Pipeline</x:v>
      </x:c>
      <x:c r="I1" s="4" t="str">
        <x:v>ISRM Ukraine — Engagement Pipeline</x:v>
      </x:c>
      <x:c r="J1" s="4" t="str">
        <x:v>ISRM Ukraine — Engagement Pipeline</x:v>
      </x:c>
      <x:c r="K1" s="4" t="str">
        <x:v>ISRM Ukraine — Engagement Pipeline</x:v>
      </x:c>
      <x:c r="L1" s="4" t="str">
        <x:v>ISRM Ukraine — Engagement Pipeline</x:v>
      </x:c>
      <x:c r="M1" s="4" t="str">
        <x:v>ISRM Ukraine — Engagement Pipeline</x:v>
      </x:c>
      <x:c r="N1" s="4" t="str">
        <x:v>ISRM Ukraine — Engagement Pipeline</x:v>
      </x:c>
      <x:c r="O1" s="4" t="str">
        <x:v>ISRM Ukraine — Engagement Pipeline</x:v>
      </x:c>
      <x:c r="P1" s="4" t="str">
        <x:v>ISRM Ukraine — Engagement Pipeline</x:v>
      </x:c>
    </x:row>
    <x:row r="2" ht="28" customHeight="1">
      <x:c r="A2" s="16" t="str">
        <x:v>Operational view for community development, contributor engagement, institutional partnerships and F&amp;P opportunities. Inclusion is not permission for unsolicited outreach.</x:v>
      </x:c>
      <x:c r="B2" s="17" t="str">
        <x:v>Operational view for community development, contributor engagement, institutional partnerships and F&amp;P opportunities. Inclusion is not permission for unsolicited outreach.</x:v>
      </x:c>
      <x:c r="C2" s="17" t="str">
        <x:v>Operational view for community development, contributor engagement, institutional partnerships and F&amp;P opportunities. Inclusion is not permission for unsolicited outreach.</x:v>
      </x:c>
      <x:c r="D2" s="17" t="str">
        <x:v>Operational view for community development, contributor engagement, institutional partnerships and F&amp;P opportunities. Inclusion is not permission for unsolicited outreach.</x:v>
      </x:c>
      <x:c r="E2" s="17" t="str">
        <x:v>Operational view for community development, contributor engagement, institutional partnerships and F&amp;P opportunities. Inclusion is not permission for unsolicited outreach.</x:v>
      </x:c>
      <x:c r="F2" s="17" t="str">
        <x:v>Operational view for community development, contributor engagement, institutional partnerships and F&amp;P opportunities. Inclusion is not permission for unsolicited outreach.</x:v>
      </x:c>
      <x:c r="G2" s="17" t="str">
        <x:v>Operational view for community development, contributor engagement, institutional partnerships and F&amp;P opportunities. Inclusion is not permission for unsolicited outreach.</x:v>
      </x:c>
      <x:c r="H2" s="17" t="str">
        <x:v>Operational view for community development, contributor engagement, institutional partnerships and F&amp;P opportunities. Inclusion is not permission for unsolicited outreach.</x:v>
      </x:c>
      <x:c r="I2" s="17" t="str">
        <x:v>Operational view for community development, contributor engagement, institutional partnerships and F&amp;P opportunities. Inclusion is not permission for unsolicited outreach.</x:v>
      </x:c>
      <x:c r="J2" s="17" t="str">
        <x:v>Operational view for community development, contributor engagement, institutional partnerships and F&amp;P opportunities. Inclusion is not permission for unsolicited outreach.</x:v>
      </x:c>
      <x:c r="K2" s="17" t="str">
        <x:v>Operational view for community development, contributor engagement, institutional partnerships and F&amp;P opportunities. Inclusion is not permission for unsolicited outreach.</x:v>
      </x:c>
      <x:c r="L2" s="17" t="str">
        <x:v>Operational view for community development, contributor engagement, institutional partnerships and F&amp;P opportunities. Inclusion is not permission for unsolicited outreach.</x:v>
      </x:c>
      <x:c r="M2" s="17" t="str">
        <x:v>Operational view for community development, contributor engagement, institutional partnerships and F&amp;P opportunities. Inclusion is not permission for unsolicited outreach.</x:v>
      </x:c>
      <x:c r="N2" s="17" t="str">
        <x:v>Operational view for community development, contributor engagement, institutional partnerships and F&amp;P opportunities. Inclusion is not permission for unsolicited outreach.</x:v>
      </x:c>
      <x:c r="O2" s="17" t="str">
        <x:v>Operational view for community development, contributor engagement, institutional partnerships and F&amp;P opportunities. Inclusion is not permission for unsolicited outreach.</x:v>
      </x:c>
      <x:c r="P2" s="18" t="str">
        <x:v>Operational view for community development, contributor engagement, institutional partnerships and F&amp;P opportunities. Inclusion is not permission for unsolicited outreach.</x:v>
      </x:c>
    </x:row>
    <x:row r="4" ht="38" customHeight="1">
      <x:c r="A4" s="24" t="str">
        <x:v>Record ID</x:v>
      </x:c>
      <x:c r="B4" s="24" t="str">
        <x:v>Contact</x:v>
      </x:c>
      <x:c r="C4" s="24" t="str">
        <x:v>Organisation</x:v>
      </x:c>
      <x:c r="D4" s="24" t="str">
        <x:v>Role</x:v>
      </x:c>
      <x:c r="E4" s="24" t="str">
        <x:v>Relationship type</x:v>
      </x:c>
      <x:c r="F4" s="24" t="str">
        <x:v>Priority</x:v>
      </x:c>
      <x:c r="G4" s="24" t="str">
        <x:v>Identity status</x:v>
      </x:c>
      <x:c r="H4" s="24" t="str">
        <x:v>Proposed engagement</x:v>
      </x:c>
      <x:c r="I4" s="24" t="str">
        <x:v>ISRM opportunity</x:v>
      </x:c>
      <x:c r="J4" s="24" t="str">
        <x:v>F&amp;P opportunity</x:v>
      </x:c>
      <x:c r="K4" s="24" t="str">
        <x:v>Next action</x:v>
      </x:c>
      <x:c r="L4" s="24" t="str">
        <x:v>Owner</x:v>
      </x:c>
      <x:c r="M4" s="24" t="str">
        <x:v>Outreach status</x:v>
      </x:c>
      <x:c r="N4" s="24" t="str">
        <x:v>Last contact</x:v>
      </x:c>
      <x:c r="O4" s="24" t="str">
        <x:v>Next contact</x:v>
      </x:c>
      <x:c r="P4" s="24" t="str">
        <x:v>Outcome notes</x:v>
      </x:c>
    </x:row>
    <x:row r="5">
      <x:c r="A5" s="30" t="n">
        <x:v>2</x:v>
      </x:c>
      <x:c r="B5" s="29" t="str">
        <x:v>Jack Ward Bleach</x:v>
      </x:c>
      <x:c r="C5" s="29" t="str">
        <x:v>JB Risk Advisory Ltd</x:v>
      </x:c>
      <x:c r="D5" s="29" t="str">
        <x:v>Founder / risk adviser</x:v>
      </x:c>
      <x:c r="E5" s="29" t="str">
        <x:v>Potential partner / referral</x:v>
      </x:c>
      <x:c r="F5" s="29" t="str">
        <x:v>High</x:v>
      </x:c>
      <x:c r="G5" s="29" t="str">
        <x:v>Probable</x:v>
      </x:c>
      <x:c r="H5" s="29" t="str">
        <x:v>Partnership and capability exchange</x:v>
      </x:c>
      <x:c r="I5" s="29" t="str">
        <x:v>Speaker / interviewee / case-study contributor</x:v>
      </x:c>
      <x:c r="J5" s="29" t="str">
        <x:v>Potential joint delivery, referral or market intelligence</x:v>
      </x:c>
      <x:c r="K5" s="29" t="str">
        <x:v>Verify by a short direct message, then propose a 30-minute capability exchange.</x:v>
      </x:c>
      <x:c r="L5" s="29" t="str">
        <x:v>Unassigned</x:v>
      </x:c>
      <x:c r="M5" s="29" t="str">
        <x:v>Not started</x:v>
      </x:c>
      <x:c r="N5" s="32"/>
      <x:c r="O5" s="32"/>
      <x:c r="P5" s="29" t="str"/>
    </x:row>
    <x:row r="6">
      <x:c r="A6" s="30" t="n">
        <x:v>3</x:v>
      </x:c>
      <x:c r="B6" s="29" t="str">
        <x:v>Jack Lakawitch</x:v>
      </x:c>
      <x:c r="C6" s="29" t="str">
        <x:v>—</x:v>
      </x:c>
      <x:c r="D6" s="29" t="str">
        <x:v>—</x:v>
      </x:c>
      <x:c r="E6" s="29" t="str">
        <x:v>Member / verify</x:v>
      </x:c>
      <x:c r="F6" s="29" t="str">
        <x:v>Medium</x:v>
      </x:c>
      <x:c r="G6" s="29" t="str">
        <x:v>Self-identified</x:v>
      </x:c>
      <x:c r="H6" s="29" t="str">
        <x:v>Profile verification and relationship development</x:v>
      </x:c>
      <x:c r="I6" s="29" t="str">
        <x:v>Assess expertise and willingness to contribute</x:v>
      </x:c>
      <x:c r="J6" s="29" t="str">
        <x:v>Relationship and referral value; no direct sales assumption</x:v>
      </x:c>
      <x:c r="K6" s="29" t="str">
        <x:v>Ask for current organization and remit before commercial outreach.</x:v>
      </x:c>
      <x:c r="L6" s="29" t="str">
        <x:v>Unassigned</x:v>
      </x:c>
      <x:c r="M6" s="29" t="str">
        <x:v>Not started</x:v>
      </x:c>
      <x:c r="N6" s="32"/>
      <x:c r="O6" s="32"/>
      <x:c r="P6" s="29" t="str"/>
    </x:row>
    <x:row r="7">
      <x:c r="A7" s="30" t="n">
        <x:v>4</x:v>
      </x:c>
      <x:c r="B7" s="29" t="str">
        <x:v>Jamie Macpherson</x:v>
      </x:c>
      <x:c r="C7" s="29" t="str">
        <x:v>Control Risks</x:v>
      </x:c>
      <x:c r="D7" s="29" t="str">
        <x:v>Country Director, Ukraine</x:v>
      </x:c>
      <x:c r="E7" s="29" t="str">
        <x:v>Potential partner / referral</x:v>
      </x:c>
      <x:c r="F7" s="29" t="str">
        <x:v>High</x:v>
      </x:c>
      <x:c r="G7" s="29" t="str">
        <x:v>Confirmed</x:v>
      </x:c>
      <x:c r="H7" s="29" t="str">
        <x:v>Partnership and capability exchange</x:v>
      </x:c>
      <x:c r="I7" s="29" t="str">
        <x:v>Senior speaker; strategic-risk case contributor; institutional connector</x:v>
      </x:c>
      <x:c r="J7" s="29" t="str">
        <x:v>Potential joint delivery, referral or market intelligence</x:v>
      </x:c>
      <x:c r="K7" s="29" t="str">
        <x:v>Warm senior-level introduction focused on complementary legal, investigations and market-entry support.</x:v>
      </x:c>
      <x:c r="L7" s="29" t="str">
        <x:v>Unassigned</x:v>
      </x:c>
      <x:c r="M7" s="29" t="str">
        <x:v>Not started</x:v>
      </x:c>
      <x:c r="N7" s="32"/>
      <x:c r="O7" s="32"/>
      <x:c r="P7" s="29" t="str"/>
    </x:row>
    <x:row r="8">
      <x:c r="A8" s="30" t="n">
        <x:v>6</x:v>
      </x:c>
      <x:c r="B8" s="29" t="str">
        <x:v>Jen Kosydar</x:v>
      </x:c>
      <x:c r="C8" s="29" t="str">
        <x:v>Svitanok Global LLC</x:v>
      </x:c>
      <x:c r="D8" s="29" t="str">
        <x:v>Founder and Managing Director</x:v>
      </x:c>
      <x:c r="E8" s="29" t="str">
        <x:v>Potential client</x:v>
      </x:c>
      <x:c r="F8" s="29" t="str">
        <x:v>High</x:v>
      </x:c>
      <x:c r="G8" s="29" t="str">
        <x:v>Confirmed</x:v>
      </x:c>
      <x:c r="H8" s="29" t="str">
        <x:v>Institutional / client dialogue</x:v>
      </x:c>
      <x:c r="I8" s="29" t="str">
        <x:v>Speaker; research contributor; advisory partner</x:v>
      </x:c>
      <x:c r="J8" s="29" t="str">
        <x:v>Ukraine-focused advisory platform with likely needs in legal structuring, contracts and cross-border work.</x:v>
      </x:c>
      <x:c r="K8" s="29" t="str">
        <x:v>Offer a focused discussion on Ukraine entry, partner screening and legal risk.</x:v>
      </x:c>
      <x:c r="L8" s="29" t="str">
        <x:v>Unassigned</x:v>
      </x:c>
      <x:c r="M8" s="29" t="str">
        <x:v>Not started</x:v>
      </x:c>
      <x:c r="N8" s="32"/>
      <x:c r="O8" s="32"/>
      <x:c r="P8" s="29" t="str"/>
    </x:row>
    <x:row r="9">
      <x:c r="A9" s="30" t="n">
        <x:v>7</x:v>
      </x:c>
      <x:c r="B9" s="29" t="str">
        <x:v>Jon (surname unknown)</x:v>
      </x:c>
      <x:c r="C9" s="29" t="str">
        <x:v>Vargar</x:v>
      </x:c>
      <x:c r="D9" s="29" t="str">
        <x:v>Managing Director</x:v>
      </x:c>
      <x:c r="E9" s="29" t="str">
        <x:v>Potential client</x:v>
      </x:c>
      <x:c r="F9" s="29" t="str">
        <x:v>High</x:v>
      </x:c>
      <x:c r="G9" s="29" t="str">
        <x:v>Partial</x:v>
      </x:c>
      <x:c r="H9" s="29" t="str">
        <x:v>Institutional / client dialogue</x:v>
      </x:c>
      <x:c r="I9" s="29" t="str">
        <x:v>Speaker / interviewee / case-study contributor</x:v>
      </x:c>
      <x:c r="J9" s="29" t="str">
        <x:v>Managing director of a risk/security business; credible buyer or delivery partner.</x:v>
      </x:c>
      <x:c r="K9" s="29" t="str">
        <x:v>Resolve surname and website, then approach with an F&amp;P capability note.</x:v>
      </x:c>
      <x:c r="L9" s="29" t="str">
        <x:v>Unassigned</x:v>
      </x:c>
      <x:c r="M9" s="29" t="str">
        <x:v>Not started</x:v>
      </x:c>
      <x:c r="N9" s="32"/>
      <x:c r="O9" s="32"/>
      <x:c r="P9" s="29" t="str"/>
    </x:row>
    <x:row r="10">
      <x:c r="A10" s="30" t="n">
        <x:v>8</x:v>
      </x:c>
      <x:c r="B10" s="29" t="str">
        <x:v>José Manuel Pinto Teixeira</x:v>
      </x:c>
      <x:c r="C10" s="29" t="str">
        <x:v>ECES / international governance sector</x:v>
      </x:c>
      <x:c r="D10" s="29" t="str">
        <x:v>Vice President; senior elections and governance expert</x:v>
      </x:c>
      <x:c r="E10" s="29" t="str">
        <x:v>Connector / community multiplier</x:v>
      </x:c>
      <x:c r="F10" s="29" t="str">
        <x:v>Medium</x:v>
      </x:c>
      <x:c r="G10" s="29" t="str">
        <x:v>Confirmed</x:v>
      </x:c>
      <x:c r="H10" s="29" t="str">
        <x:v>Community development and introductions</x:v>
      </x:c>
      <x:c r="I10" s="29" t="str">
        <x:v>Keynote speaker; governance adviser; international connector</x:v>
      </x:c>
      <x:c r="J10" s="29" t="str">
        <x:v>Relationship and referral value; no direct sales assumption</x:v>
      </x:c>
      <x:c r="K10" s="29" t="str">
        <x:v>Request an introduction-led conversation around governance, compliance and Ukraine projects.</x:v>
      </x:c>
      <x:c r="L10" s="29" t="str">
        <x:v>Unassigned</x:v>
      </x:c>
      <x:c r="M10" s="29" t="str">
        <x:v>Not started</x:v>
      </x:c>
      <x:c r="N10" s="32"/>
      <x:c r="O10" s="32"/>
      <x:c r="P10" s="29" t="str"/>
    </x:row>
    <x:row r="11">
      <x:c r="A11" s="30" t="n">
        <x:v>9</x:v>
      </x:c>
      <x:c r="B11" s="29" t="str">
        <x:v>John Jones</x:v>
      </x:c>
      <x:c r="C11" s="29" t="str">
        <x:v>Frishberg &amp; Partners / British-Ukrainian Chamber of Commerce</x:v>
      </x:c>
      <x:c r="D11" s="29" t="str">
        <x:v>Director of Business Development; BUCC Co-Chair</x:v>
      </x:c>
      <x:c r="E11" s="29" t="str">
        <x:v>Internal / sponsor</x:v>
      </x:c>
      <x:c r="F11" s="29" t="str">
        <x:v>Internal</x:v>
      </x:c>
      <x:c r="G11" s="29" t="str">
        <x:v>Confirmed</x:v>
      </x:c>
      <x:c r="H11" s="29" t="str">
        <x:v>Internal validation and warm introductions</x:v>
      </x:c>
      <x:c r="I11" s="29" t="str">
        <x:v>Institutional connector; roundtable host; partnership lead</x:v>
      </x:c>
      <x:c r="J11" s="29" t="str">
        <x:v>Relationship and referral value; no direct sales assumption</x:v>
      </x:c>
      <x:c r="K11" s="29" t="str">
        <x:v>Use as internal sponsor for contact validation and introductions; do not treat as a new prospect.</x:v>
      </x:c>
      <x:c r="L11" s="29" t="str">
        <x:v>Unassigned</x:v>
      </x:c>
      <x:c r="M11" s="29" t="str">
        <x:v>Not started</x:v>
      </x:c>
      <x:c r="N11" s="32"/>
      <x:c r="O11" s="32"/>
      <x:c r="P11" s="29" t="str"/>
    </x:row>
    <x:row r="12">
      <x:c r="A12" s="30" t="n">
        <x:v>11</x:v>
      </x:c>
      <x:c r="B12" s="29" t="str">
        <x:v>Kateryna Panshyna</x:v>
      </x:c>
      <x:c r="C12" s="29" t="str">
        <x:v>—</x:v>
      </x:c>
      <x:c r="D12" s="29" t="str">
        <x:v>—</x:v>
      </x:c>
      <x:c r="E12" s="29" t="str">
        <x:v>Member / verify</x:v>
      </x:c>
      <x:c r="F12" s="29" t="str">
        <x:v>Medium</x:v>
      </x:c>
      <x:c r="G12" s="29" t="str">
        <x:v>Self-identified</x:v>
      </x:c>
      <x:c r="H12" s="29" t="str">
        <x:v>Profile verification and relationship development</x:v>
      </x:c>
      <x:c r="I12" s="29" t="str">
        <x:v>Assess expertise and willingness to contribute</x:v>
      </x:c>
      <x:c r="J12" s="29" t="str">
        <x:v>Relationship and referral value; no direct sales assumption</x:v>
      </x:c>
      <x:c r="K12" s="29" t="str">
        <x:v>Confirm organization and role through a direct message or shared-group introduction.</x:v>
      </x:c>
      <x:c r="L12" s="29" t="str">
        <x:v>Unassigned</x:v>
      </x:c>
      <x:c r="M12" s="29" t="str">
        <x:v>Not started</x:v>
      </x:c>
      <x:c r="N12" s="32"/>
      <x:c r="O12" s="32"/>
      <x:c r="P12" s="29" t="str"/>
    </x:row>
    <x:row r="13">
      <x:c r="A13" s="30" t="n">
        <x:v>12</x:v>
      </x:c>
      <x:c r="B13" s="29" t="str">
        <x:v>Kateryna Repetska</x:v>
      </x:c>
      <x:c r="C13" s="29" t="str">
        <x:v>INSO Ukraine</x:v>
      </x:c>
      <x:c r="D13" s="29" t="str">
        <x:v>Training Officer</x:v>
      </x:c>
      <x:c r="E13" s="29" t="str">
        <x:v>Connector / community multiplier</x:v>
      </x:c>
      <x:c r="F13" s="29" t="str">
        <x:v>Medium</x:v>
      </x:c>
      <x:c r="G13" s="29" t="str">
        <x:v>Self-identified</x:v>
      </x:c>
      <x:c r="H13" s="29" t="str">
        <x:v>Community development and introductions</x:v>
      </x:c>
      <x:c r="I13" s="29" t="str">
        <x:v>Trainer / case-study contributor</x:v>
      </x:c>
      <x:c r="J13" s="29" t="str">
        <x:v>Relationship and referral value; no direct sales assumption</x:v>
      </x:c>
      <x:c r="K13" s="29" t="str">
        <x:v>Explore training/legal-risk collaboration and ask for referral to decision-makers.</x:v>
      </x:c>
      <x:c r="L13" s="29" t="str">
        <x:v>Unassigned</x:v>
      </x:c>
      <x:c r="M13" s="29" t="str">
        <x:v>Not started</x:v>
      </x:c>
      <x:c r="N13" s="32"/>
      <x:c r="O13" s="32"/>
      <x:c r="P13" s="29" t="str"/>
    </x:row>
    <x:row r="14">
      <x:c r="A14" s="30" t="n">
        <x:v>15</x:v>
      </x:c>
      <x:c r="B14" s="29" t="str">
        <x:v>Kseniia (surname unknown)</x:v>
      </x:c>
      <x:c r="C14" s="29" t="str">
        <x:v>AMAU / Risoil</x:v>
      </x:c>
      <x:c r="D14" s="29" t="str">
        <x:v>CEO, AMAU; adviser at Risoil</x:v>
      </x:c>
      <x:c r="E14" s="29" t="str">
        <x:v>Potential client</x:v>
      </x:c>
      <x:c r="F14" s="29" t="str">
        <x:v>High</x:v>
      </x:c>
      <x:c r="G14" s="29" t="str">
        <x:v>Partial</x:v>
      </x:c>
      <x:c r="H14" s="29" t="str">
        <x:v>Institutional / client dialogue</x:v>
      </x:c>
      <x:c r="I14" s="29" t="str">
        <x:v>Speaker / interviewee / case-study contributor</x:v>
      </x:c>
      <x:c r="J14" s="29" t="str">
        <x:v>Executive/adviser profile suggests corporate and trade-related legal needs.</x:v>
      </x:c>
      <x:c r="K14" s="29" t="str">
        <x:v>Resolve surname and validate current roles before a tailored corporate/compliance approach.</x:v>
      </x:c>
      <x:c r="L14" s="29" t="str">
        <x:v>Unassigned</x:v>
      </x:c>
      <x:c r="M14" s="29" t="str">
        <x:v>Not started</x:v>
      </x:c>
      <x:c r="N14" s="32"/>
      <x:c r="O14" s="32"/>
      <x:c r="P14" s="29" t="str"/>
    </x:row>
    <x:row r="15">
      <x:c r="A15" s="30" t="n">
        <x:v>16</x:v>
      </x:c>
      <x:c r="B15" s="29" t="str">
        <x:v>Kseniia Pidruchna (profile also uses Kluban)</x:v>
      </x:c>
      <x:c r="C15" s="29" t="str">
        <x:v>ISRM Ukraine</x:v>
      </x:c>
      <x:c r="D15" s="29" t="str">
        <x:v>Women in Strategic Risk lead</x:v>
      </x:c>
      <x:c r="E15" s="29" t="str">
        <x:v>Connector / community multiplier</x:v>
      </x:c>
      <x:c r="F15" s="29" t="str">
        <x:v>Medium</x:v>
      </x:c>
      <x:c r="G15" s="29" t="str">
        <x:v>Confirmed</x:v>
      </x:c>
      <x:c r="H15" s="29" t="str">
        <x:v>Community development and introductions</x:v>
      </x:c>
      <x:c r="I15" s="29" t="str">
        <x:v>Programme lead; mentor; community organiser</x:v>
      </x:c>
      <x:c r="J15" s="29" t="str">
        <x:v>Relationship and referral value; no direct sales assumption</x:v>
      </x:c>
      <x:c r="K15" s="29" t="str">
        <x:v>Coordinate through ISRM context and seek introductions to corporate security buyers.</x:v>
      </x:c>
      <x:c r="L15" s="29" t="str">
        <x:v>Unassigned</x:v>
      </x:c>
      <x:c r="M15" s="29" t="str">
        <x:v>Not started</x:v>
      </x:c>
      <x:c r="N15" s="32"/>
      <x:c r="O15" s="32"/>
      <x:c r="P15" s="29" t="str"/>
    </x:row>
    <x:row r="16">
      <x:c r="A16" s="30" t="n">
        <x:v>17</x:v>
      </x:c>
      <x:c r="B16" s="29" t="str">
        <x:v>Larysa Zomchak</x:v>
      </x:c>
      <x:c r="C16" s="29" t="str">
        <x:v>Ivan Franko National University of Lviv</x:v>
      </x:c>
      <x:c r="D16" s="29" t="str">
        <x:v>Associate Professor</x:v>
      </x:c>
      <x:c r="E16" s="29" t="str">
        <x:v>Member / verify</x:v>
      </x:c>
      <x:c r="F16" s="29" t="str">
        <x:v>Medium</x:v>
      </x:c>
      <x:c r="G16" s="29" t="str">
        <x:v>Confirmed</x:v>
      </x:c>
      <x:c r="H16" s="29" t="str">
        <x:v>Profile verification and relationship development</x:v>
      </x:c>
      <x:c r="I16" s="29" t="str">
        <x:v>Research author; academic reviewer; data-led speaker</x:v>
      </x:c>
      <x:c r="J16" s="29" t="str">
        <x:v>Relationship and referral value; no direct sales assumption</x:v>
      </x:c>
      <x:c r="K16" s="29" t="str">
        <x:v>Maintain as expert/connector; approach only with a defined research or policy topic.</x:v>
      </x:c>
      <x:c r="L16" s="29" t="str">
        <x:v>Unassigned</x:v>
      </x:c>
      <x:c r="M16" s="29" t="str">
        <x:v>Not started</x:v>
      </x:c>
      <x:c r="N16" s="32"/>
      <x:c r="O16" s="32"/>
      <x:c r="P16" s="29" t="str"/>
    </x:row>
    <x:row r="17">
      <x:c r="A17" s="30" t="n">
        <x:v>19</x:v>
      </x:c>
      <x:c r="B17" s="29" t="str">
        <x:v>Lloyd Green</x:v>
      </x:c>
      <x:c r="C17" s="29" t="str">
        <x:v>Media HRA (as stated)</x:v>
      </x:c>
      <x:c r="D17" s="29" t="str">
        <x:v>Media/HRA professional; exact remit unclear</x:v>
      </x:c>
      <x:c r="E17" s="29" t="str">
        <x:v>Member / verify</x:v>
      </x:c>
      <x:c r="F17" s="29" t="str">
        <x:v>Medium</x:v>
      </x:c>
      <x:c r="G17" s="29" t="str">
        <x:v>Self-identified</x:v>
      </x:c>
      <x:c r="H17" s="29" t="str">
        <x:v>Profile verification and relationship development</x:v>
      </x:c>
      <x:c r="I17" s="29" t="str">
        <x:v>Assess expertise and willingness to contribute</x:v>
      </x:c>
      <x:c r="J17" s="29" t="str">
        <x:v>Relationship and referral value; no direct sales assumption</x:v>
      </x:c>
      <x:c r="K17" s="29" t="str">
        <x:v>Clarify organization, title and current Ukraine activity.</x:v>
      </x:c>
      <x:c r="L17" s="29" t="str">
        <x:v>Unassigned</x:v>
      </x:c>
      <x:c r="M17" s="29" t="str">
        <x:v>Not started</x:v>
      </x:c>
      <x:c r="N17" s="32"/>
      <x:c r="O17" s="32"/>
      <x:c r="P17" s="29" t="str"/>
    </x:row>
    <x:row r="18">
      <x:c r="A18" s="30" t="n">
        <x:v>20</x:v>
      </x:c>
      <x:c r="B18" s="29" t="str">
        <x:v>Lloyd Widdup</x:v>
      </x:c>
      <x:c r="C18" s="29" t="str">
        <x:v>Independent / NGO advisory</x:v>
      </x:c>
      <x:c r="D18" s="29" t="str">
        <x:v>Close protection and NGO security adviser</x:v>
      </x:c>
      <x:c r="E18" s="29" t="str">
        <x:v>Potential partner / referral</x:v>
      </x:c>
      <x:c r="F18" s="29" t="str">
        <x:v>High</x:v>
      </x:c>
      <x:c r="G18" s="29" t="str">
        <x:v>Confirmed</x:v>
      </x:c>
      <x:c r="H18" s="29" t="str">
        <x:v>Partnership and capability exchange</x:v>
      </x:c>
      <x:c r="I18" s="29" t="str">
        <x:v>Practitioner interviewee; training contributor</x:v>
      </x:c>
      <x:c r="J18" s="29" t="str">
        <x:v>Potential joint delivery, referral or market intelligence</x:v>
      </x:c>
      <x:c r="K18" s="29" t="str">
        <x:v>Offer reciprocal referrals and legal backstop for security engagements.</x:v>
      </x:c>
      <x:c r="L18" s="29" t="str">
        <x:v>Unassigned</x:v>
      </x:c>
      <x:c r="M18" s="29" t="str">
        <x:v>Not started</x:v>
      </x:c>
      <x:c r="N18" s="32"/>
      <x:c r="O18" s="32"/>
      <x:c r="P18" s="29" t="str"/>
    </x:row>
    <x:row r="19">
      <x:c r="A19" s="30" t="n">
        <x:v>22</x:v>
      </x:c>
      <x:c r="B19" s="29" t="str">
        <x:v>Luke (surname unknown)</x:v>
      </x:c>
      <x:c r="C19" s="29" t="str">
        <x:v>Prevail Partners</x:v>
      </x:c>
      <x:c r="D19" s="29" t="str">
        <x:v>Security risk adviser and paramedic</x:v>
      </x:c>
      <x:c r="E19" s="29" t="str">
        <x:v>Potential partner / referral</x:v>
      </x:c>
      <x:c r="F19" s="29" t="str">
        <x:v>High</x:v>
      </x:c>
      <x:c r="G19" s="29" t="str">
        <x:v>Partial</x:v>
      </x:c>
      <x:c r="H19" s="29" t="str">
        <x:v>Partnership and capability exchange</x:v>
      </x:c>
      <x:c r="I19" s="29" t="str">
        <x:v>Speaker / interviewee / case-study contributor</x:v>
      </x:c>
      <x:c r="J19" s="29" t="str">
        <x:v>Potential joint delivery, referral or market intelligence</x:v>
      </x:c>
      <x:c r="K19" s="29" t="str">
        <x:v>Resolve surname through Prevail/ISRM contacts, then propose complementary legal support.</x:v>
      </x:c>
      <x:c r="L19" s="29" t="str">
        <x:v>Unassigned</x:v>
      </x:c>
      <x:c r="M19" s="29" t="str">
        <x:v>Not started</x:v>
      </x:c>
      <x:c r="N19" s="32"/>
      <x:c r="O19" s="32"/>
      <x:c r="P19" s="29" t="str"/>
    </x:row>
    <x:row r="20">
      <x:c r="A20" s="30" t="n">
        <x:v>25</x:v>
      </x:c>
      <x:c r="B20" s="29" t="str">
        <x:v>Maksym Chebotarov</x:v>
      </x:c>
      <x:c r="C20" s="29" t="str">
        <x:v>Transatlantic Dialogue Center / ISRM Ukraine</x:v>
      </x:c>
      <x:c r="D20" s="29" t="str">
        <x:v>Young Professionals and Mentoring; policy expert</x:v>
      </x:c>
      <x:c r="E20" s="29" t="str">
        <x:v>Connector / community multiplier</x:v>
      </x:c>
      <x:c r="F20" s="29" t="str">
        <x:v>Medium</x:v>
      </x:c>
      <x:c r="G20" s="29" t="str">
        <x:v>Confirmed</x:v>
      </x:c>
      <x:c r="H20" s="29" t="str">
        <x:v>Community development and introductions</x:v>
      </x:c>
      <x:c r="I20" s="29" t="str">
        <x:v>Speaker; analyst; young-professionals mentor</x:v>
      </x:c>
      <x:c r="J20" s="29" t="str">
        <x:v>Relationship and referral value; no direct sales assumption</x:v>
      </x:c>
      <x:c r="K20" s="29" t="str">
        <x:v>Seek introductions to investors and reconstruction projects needing Ukrainian counsel.</x:v>
      </x:c>
      <x:c r="L20" s="29" t="str">
        <x:v>Unassigned</x:v>
      </x:c>
      <x:c r="M20" s="29" t="str">
        <x:v>Not started</x:v>
      </x:c>
      <x:c r="N20" s="32"/>
      <x:c r="O20" s="32"/>
      <x:c r="P20" s="29" t="str"/>
    </x:row>
    <x:row r="21">
      <x:c r="A21" s="30" t="n">
        <x:v>26</x:v>
      </x:c>
      <x:c r="B21" s="29" t="str">
        <x:v>MF (initials only)</x:v>
      </x:c>
      <x:c r="C21" s="29" t="str">
        <x:v>Prevail Partners</x:v>
      </x:c>
      <x:c r="D21" s="29" t="str">
        <x:v>Security Risk Adviser, Kyiv</x:v>
      </x:c>
      <x:c r="E21" s="29" t="str">
        <x:v>Potential partner / referral</x:v>
      </x:c>
      <x:c r="F21" s="29" t="str">
        <x:v>High</x:v>
      </x:c>
      <x:c r="G21" s="29" t="str">
        <x:v>Partial</x:v>
      </x:c>
      <x:c r="H21" s="29" t="str">
        <x:v>Partnership and capability exchange</x:v>
      </x:c>
      <x:c r="I21" s="29" t="str">
        <x:v>Speaker / interviewee / case-study contributor</x:v>
      </x:c>
      <x:c r="J21" s="29" t="str">
        <x:v>Potential joint delivery, referral or market intelligence</x:v>
      </x:c>
      <x:c r="K21" s="29" t="str">
        <x:v>Resolve full name internally before outreach.</x:v>
      </x:c>
      <x:c r="L21" s="29" t="str">
        <x:v>Unassigned</x:v>
      </x:c>
      <x:c r="M21" s="29" t="str">
        <x:v>Not started</x:v>
      </x:c>
      <x:c r="N21" s="32"/>
      <x:c r="O21" s="32"/>
      <x:c r="P21" s="29" t="str"/>
    </x:row>
    <x:row r="22">
      <x:c r="A22" s="30" t="n">
        <x:v>27</x:v>
      </x:c>
      <x:c r="B22" s="29" t="str">
        <x:v>Michael (surname unknown)</x:v>
      </x:c>
      <x:c r="C22" s="29" t="str">
        <x:v>ISRM Ukraine (group admin)</x:v>
      </x:c>
      <x:c r="D22" s="29" t="str">
        <x:v>Administrator; exact role unknown</x:v>
      </x:c>
      <x:c r="E22" s="29" t="str">
        <x:v>Connector / community multiplier</x:v>
      </x:c>
      <x:c r="F22" s="29" t="str">
        <x:v>Medium</x:v>
      </x:c>
      <x:c r="G22" s="29" t="str">
        <x:v>Partial</x:v>
      </x:c>
      <x:c r="H22" s="29" t="str">
        <x:v>Community development and introductions</x:v>
      </x:c>
      <x:c r="I22" s="29" t="str">
        <x:v>Chapter leadership / member mobilisation / editorial contributor</x:v>
      </x:c>
      <x:c r="J22" s="29" t="str">
        <x:v>Relationship and referral value; no direct sales assumption</x:v>
      </x:c>
      <x:c r="K22" s="29" t="str">
        <x:v>Ask another administrator to confirm identity and role.</x:v>
      </x:c>
      <x:c r="L22" s="29" t="str">
        <x:v>Unassigned</x:v>
      </x:c>
      <x:c r="M22" s="29" t="str">
        <x:v>Not started</x:v>
      </x:c>
      <x:c r="N22" s="32"/>
      <x:c r="O22" s="32"/>
      <x:c r="P22" s="29" t="str"/>
    </x:row>
    <x:row r="23">
      <x:c r="A23" s="30" t="n">
        <x:v>28</x:v>
      </x:c>
      <x:c r="B23" s="29" t="str">
        <x:v>Michael “Mick” Stott</x:v>
      </x:c>
      <x:c r="C23" s="29" t="str">
        <x:v>—</x:v>
      </x:c>
      <x:c r="D23" s="29" t="str">
        <x:v>Professor h.c.; exact current affiliation unverified</x:v>
      </x:c>
      <x:c r="E23" s="29" t="str">
        <x:v>Member / verify</x:v>
      </x:c>
      <x:c r="F23" s="29" t="str">
        <x:v>Medium</x:v>
      </x:c>
      <x:c r="G23" s="29" t="str">
        <x:v>Probable</x:v>
      </x:c>
      <x:c r="H23" s="29" t="str">
        <x:v>Profile verification and relationship development</x:v>
      </x:c>
      <x:c r="I23" s="29" t="str">
        <x:v>Author / researcher / academic reviewer</x:v>
      </x:c>
      <x:c r="J23" s="29" t="str">
        <x:v>Relationship and referral value; no direct sales assumption</x:v>
      </x:c>
      <x:c r="K23" s="29" t="str">
        <x:v>Confirm affiliation and Ukraine remit.</x:v>
      </x:c>
      <x:c r="L23" s="29" t="str">
        <x:v>Unassigned</x:v>
      </x:c>
      <x:c r="M23" s="29" t="str">
        <x:v>Not started</x:v>
      </x:c>
      <x:c r="N23" s="32"/>
      <x:c r="O23" s="32"/>
      <x:c r="P23" s="29" t="str"/>
    </x:row>
    <x:row r="24">
      <x:c r="A24" s="30" t="n">
        <x:v>29</x:v>
      </x:c>
      <x:c r="B24" s="29" t="str">
        <x:v>Oleksandr Miniailyk</x:v>
      </x:c>
      <x:c r="C24" s="29" t="str">
        <x:v>—</x:v>
      </x:c>
      <x:c r="D24" s="29" t="str">
        <x:v>—</x:v>
      </x:c>
      <x:c r="E24" s="29" t="str">
        <x:v>Member / verify</x:v>
      </x:c>
      <x:c r="F24" s="29" t="str">
        <x:v>Medium</x:v>
      </x:c>
      <x:c r="G24" s="29" t="str">
        <x:v>Self-identified</x:v>
      </x:c>
      <x:c r="H24" s="29" t="str">
        <x:v>Profile verification and relationship development</x:v>
      </x:c>
      <x:c r="I24" s="29" t="str">
        <x:v>Assess expertise and willingness to contribute</x:v>
      </x:c>
      <x:c r="J24" s="29" t="str">
        <x:v>Relationship and referral value; no direct sales assumption</x:v>
      </x:c>
      <x:c r="K24" s="29" t="str">
        <x:v>Ask for organization and role.</x:v>
      </x:c>
      <x:c r="L24" s="29" t="str">
        <x:v>Unassigned</x:v>
      </x:c>
      <x:c r="M24" s="29" t="str">
        <x:v>Not started</x:v>
      </x:c>
      <x:c r="N24" s="32"/>
      <x:c r="O24" s="32"/>
      <x:c r="P24" s="29" t="str"/>
    </x:row>
    <x:row r="25">
      <x:c r="A25" s="30" t="n">
        <x:v>30</x:v>
      </x:c>
      <x:c r="B25" s="29" t="str">
        <x:v>Murat Bayraktar</x:v>
      </x:c>
      <x:c r="C25" s="29" t="str">
        <x:v>Istanbul Esenyurt University</x:v>
      </x:c>
      <x:c r="D25" s="29" t="str">
        <x:v>Assistant Professor</x:v>
      </x:c>
      <x:c r="E25" s="29" t="str">
        <x:v>Member / verify</x:v>
      </x:c>
      <x:c r="F25" s="29" t="str">
        <x:v>Medium</x:v>
      </x:c>
      <x:c r="G25" s="29" t="str">
        <x:v>Confirmed</x:v>
      </x:c>
      <x:c r="H25" s="29" t="str">
        <x:v>Profile verification and relationship development</x:v>
      </x:c>
      <x:c r="I25" s="29" t="str">
        <x:v>Academic speaker; author; macro-risk contributor</x:v>
      </x:c>
      <x:c r="J25" s="29" t="str">
        <x:v>Relationship and referral value; no direct sales assumption</x:v>
      </x:c>
      <x:c r="K25" s="29" t="str">
        <x:v>Keep for expert engagement; no direct sales approach without a relevant project.</x:v>
      </x:c>
      <x:c r="L25" s="29" t="str">
        <x:v>Unassigned</x:v>
      </x:c>
      <x:c r="M25" s="29" t="str">
        <x:v>Not started</x:v>
      </x:c>
      <x:c r="N25" s="32"/>
      <x:c r="O25" s="32"/>
      <x:c r="P25" s="29" t="str"/>
    </x:row>
    <x:row r="26">
      <x:c r="A26" s="30" t="n">
        <x:v>33</x:v>
      </x:c>
      <x:c r="B26" s="29" t="str">
        <x:v>Natalia Burkina</x:v>
      </x:c>
      <x:c r="C26" s="29" t="str">
        <x:v>FHV Vorarlberg University of Applied Sciences / Donetsk National University</x:v>
      </x:c>
      <x:c r="D26" s="29" t="str">
        <x:v>Researcher and data scientist</x:v>
      </x:c>
      <x:c r="E26" s="29" t="str">
        <x:v>Member / verify</x:v>
      </x:c>
      <x:c r="F26" s="29" t="str">
        <x:v>Medium</x:v>
      </x:c>
      <x:c r="G26" s="29" t="str">
        <x:v>Confirmed</x:v>
      </x:c>
      <x:c r="H26" s="29" t="str">
        <x:v>Profile verification and relationship development</x:v>
      </x:c>
      <x:c r="I26" s="29" t="str">
        <x:v>Research author; methods adviser; academic bridge</x:v>
      </x:c>
      <x:c r="J26" s="29" t="str">
        <x:v>Relationship and referral value; no direct sales assumption</x:v>
      </x:c>
      <x:c r="K26" s="29" t="str">
        <x:v>Approach only around data, research or reconstruction analytics.</x:v>
      </x:c>
      <x:c r="L26" s="29" t="str">
        <x:v>Unassigned</x:v>
      </x:c>
      <x:c r="M26" s="29" t="str">
        <x:v>Not started</x:v>
      </x:c>
      <x:c r="N26" s="32"/>
      <x:c r="O26" s="32"/>
      <x:c r="P26" s="29" t="str"/>
    </x:row>
    <x:row r="27">
      <x:c r="A27" s="30" t="n">
        <x:v>36</x:v>
      </x:c>
      <x:c r="B27" s="29" t="str">
        <x:v>Nataliia Hrabska</x:v>
      </x:c>
      <x:c r="C27" s="29" t="str">
        <x:v>INSO / ISRM Ukraine</x:v>
      </x:c>
      <x:c r="D27" s="29" t="str">
        <x:v>Training Officer and Security Specialist; Women in Strategic Risk and Young Professionals</x:v>
      </x:c>
      <x:c r="E27" s="29" t="str">
        <x:v>Connector / community multiplier</x:v>
      </x:c>
      <x:c r="F27" s="29" t="str">
        <x:v>Medium</x:v>
      </x:c>
      <x:c r="G27" s="29" t="str">
        <x:v>Confirmed</x:v>
      </x:c>
      <x:c r="H27" s="29" t="str">
        <x:v>Community development and introductions</x:v>
      </x:c>
      <x:c r="I27" s="29" t="str">
        <x:v>Trainer; programme lead; case contributor</x:v>
      </x:c>
      <x:c r="J27" s="29" t="str">
        <x:v>Relationship and referral value; no direct sales assumption</x:v>
      </x:c>
      <x:c r="K27" s="29" t="str">
        <x:v>Seek introductions to NGO country directors and security decision-makers.</x:v>
      </x:c>
      <x:c r="L27" s="29" t="str">
        <x:v>Unassigned</x:v>
      </x:c>
      <x:c r="M27" s="29" t="str">
        <x:v>Not started</x:v>
      </x:c>
      <x:c r="N27" s="32"/>
      <x:c r="O27" s="32"/>
      <x:c r="P27" s="29" t="str"/>
    </x:row>
    <x:row r="28">
      <x:c r="A28" s="30" t="n">
        <x:v>37</x:v>
      </x:c>
      <x:c r="B28" s="29" t="str">
        <x:v>Nick Bennett</x:v>
      </x:c>
      <x:c r="C28" s="29" t="str">
        <x:v>Iqarus / International SOS</x:v>
      </x:c>
      <x:c r="D28" s="29" t="str">
        <x:v>Country Director</x:v>
      </x:c>
      <x:c r="E28" s="29" t="str">
        <x:v>Potential client</x:v>
      </x:c>
      <x:c r="F28" s="29" t="str">
        <x:v>High</x:v>
      </x:c>
      <x:c r="G28" s="29" t="str">
        <x:v>Self-identified</x:v>
      </x:c>
      <x:c r="H28" s="29" t="str">
        <x:v>Institutional / client dialogue</x:v>
      </x:c>
      <x:c r="I28" s="29" t="str">
        <x:v>Speaker / interviewee / case-study contributor</x:v>
      </x:c>
      <x:c r="J28" s="29" t="str">
        <x:v>Country-level decision-maker in medical/security services; cross-border contracting and regulatory needs likely.</x:v>
      </x:c>
      <x:c r="K28" s="29" t="str">
        <x:v>Validate current employer, then propose a discussion on Ukraine legal and compliance support.</x:v>
      </x:c>
      <x:c r="L28" s="29" t="str">
        <x:v>Unassigned</x:v>
      </x:c>
      <x:c r="M28" s="29" t="str">
        <x:v>Not started</x:v>
      </x:c>
      <x:c r="N28" s="32"/>
      <x:c r="O28" s="32"/>
      <x:c r="P28" s="29" t="str"/>
    </x:row>
    <x:row r="29">
      <x:c r="A29" s="30" t="n">
        <x:v>40</x:v>
      </x:c>
      <x:c r="B29" s="29" t="str">
        <x:v>Oksana Leonova</x:v>
      </x:c>
      <x:c r="C29" s="29" t="str">
        <x:v>3xPC</x:v>
      </x:c>
      <x:c r="D29" s="29" t="str">
        <x:v>Operations Manager</x:v>
      </x:c>
      <x:c r="E29" s="29" t="str">
        <x:v>Potential partner / referral</x:v>
      </x:c>
      <x:c r="F29" s="29" t="str">
        <x:v>High</x:v>
      </x:c>
      <x:c r="G29" s="29" t="str">
        <x:v>Probable</x:v>
      </x:c>
      <x:c r="H29" s="29" t="str">
        <x:v>Partnership and capability exchange</x:v>
      </x:c>
      <x:c r="I29" s="29" t="str">
        <x:v>Speaker / interviewee / case-study contributor</x:v>
      </x:c>
      <x:c r="J29" s="29" t="str">
        <x:v>Potential joint delivery, referral or market intelligence</x:v>
      </x:c>
      <x:c r="K29" s="29" t="str">
        <x:v>Confirm current title, then propose operational legal support and reciprocal referrals.</x:v>
      </x:c>
      <x:c r="L29" s="29" t="str">
        <x:v>Unassigned</x:v>
      </x:c>
      <x:c r="M29" s="29" t="str">
        <x:v>Not started</x:v>
      </x:c>
      <x:c r="N29" s="32"/>
      <x:c r="O29" s="32"/>
      <x:c r="P29" s="29" t="str"/>
    </x:row>
    <x:row r="30">
      <x:c r="A30" s="30" t="n">
        <x:v>41</x:v>
      </x:c>
      <x:c r="B30" s="29" t="str">
        <x:v>Oleksandr Churkin</x:v>
      </x:c>
      <x:c r="C30" s="29" t="str">
        <x:v>IITC / UniTech Ukraine</x:v>
      </x:c>
      <x:c r="D30" s="29" t="str">
        <x:v>Founder and CEO / co-founder</x:v>
      </x:c>
      <x:c r="E30" s="29" t="str">
        <x:v>Potential client</x:v>
      </x:c>
      <x:c r="F30" s="29" t="str">
        <x:v>High</x:v>
      </x:c>
      <x:c r="G30" s="29" t="str">
        <x:v>Confirmed</x:v>
      </x:c>
      <x:c r="H30" s="29" t="str">
        <x:v>Institutional / client dialogue</x:v>
      </x:c>
      <x:c r="I30" s="29" t="str">
        <x:v>Industry speaker; innovation partner; case contributor</x:v>
      </x:c>
      <x:c r="J30" s="29" t="str">
        <x:v>Entrepreneurial and investor-facing profile with likely corporate, IP and transaction needs.</x:v>
      </x:c>
      <x:c r="K30" s="29" t="str">
        <x:v>Tailored partner-level outreach around investment, contracts and Ukraine market entry.</x:v>
      </x:c>
      <x:c r="L30" s="29" t="str">
        <x:v>Unassigned</x:v>
      </x:c>
      <x:c r="M30" s="29" t="str">
        <x:v>Not started</x:v>
      </x:c>
      <x:c r="N30" s="32"/>
      <x:c r="O30" s="32"/>
      <x:c r="P30" s="29" t="str"/>
    </x:row>
    <x:row r="31">
      <x:c r="A31" s="30" t="n">
        <x:v>42</x:v>
      </x:c>
      <x:c r="B31" s="29" t="str">
        <x:v>Olena Goroshko</x:v>
      </x:c>
      <x:c r="C31" s="29" t="str">
        <x:v>National Technical University Kharkiv Polytechnic Institute / ISRM Ukraine</x:v>
      </x:c>
      <x:c r="D31" s="29" t="str">
        <x:v>Professor; Partnerships liaison</x:v>
      </x:c>
      <x:c r="E31" s="29" t="str">
        <x:v>Connector / community multiplier</x:v>
      </x:c>
      <x:c r="F31" s="29" t="str">
        <x:v>Medium</x:v>
      </x:c>
      <x:c r="G31" s="29" t="str">
        <x:v>Confirmed</x:v>
      </x:c>
      <x:c r="H31" s="29" t="str">
        <x:v>Community development and introductions</x:v>
      </x:c>
      <x:c r="I31" s="29" t="str">
        <x:v>Partnership lead; academic speaker; reviewer</x:v>
      </x:c>
      <x:c r="J31" s="29" t="str">
        <x:v>Relationship and referral value; no direct sales assumption</x:v>
      </x:c>
      <x:c r="K31" s="29" t="str">
        <x:v>Coordinate a structured F&amp;P–ISRM partnership and ask for qualified introductions.</x:v>
      </x:c>
      <x:c r="L31" s="29" t="str">
        <x:v>Unassigned</x:v>
      </x:c>
      <x:c r="M31" s="29" t="str">
        <x:v>Not started</x:v>
      </x:c>
      <x:c r="N31" s="32"/>
      <x:c r="O31" s="32"/>
      <x:c r="P31" s="29" t="str"/>
    </x:row>
    <x:row r="32">
      <x:c r="A32" s="30" t="n">
        <x:v>43</x:v>
      </x:c>
      <x:c r="B32" s="29" t="str">
        <x:v>Olena Puhach</x:v>
      </x:c>
      <x:c r="C32" s="29" t="str">
        <x:v>Nippon Koei</x:v>
      </x:c>
      <x:c r="D32" s="29" t="str">
        <x:v>Resident Business Development Manager</x:v>
      </x:c>
      <x:c r="E32" s="29" t="str">
        <x:v>Potential client</x:v>
      </x:c>
      <x:c r="F32" s="29" t="str">
        <x:v>High</x:v>
      </x:c>
      <x:c r="G32" s="29" t="str">
        <x:v>Probable</x:v>
      </x:c>
      <x:c r="H32" s="29" t="str">
        <x:v>Institutional / client dialogue</x:v>
      </x:c>
      <x:c r="I32" s="29" t="str">
        <x:v>Speaker / interviewee / case-study contributor</x:v>
      </x:c>
      <x:c r="J32" s="29" t="str">
        <x:v>Infrastructure/reconstruction business development role; strong legal project potential.</x:v>
      </x:c>
      <x:c r="K32" s="29" t="str">
        <x:v>Validate current position and approach around tenders, contracts and project risk.</x:v>
      </x:c>
      <x:c r="L32" s="29" t="str">
        <x:v>Unassigned</x:v>
      </x:c>
      <x:c r="M32" s="29" t="str">
        <x:v>Not started</x:v>
      </x:c>
      <x:c r="N32" s="32"/>
      <x:c r="O32" s="32"/>
      <x:c r="P32" s="29" t="str"/>
    </x:row>
    <x:row r="33">
      <x:c r="A33" s="30" t="n">
        <x:v>44</x:v>
      </x:c>
      <x:c r="B33" s="29" t="str">
        <x:v>Olga Kasyan</x:v>
      </x:c>
      <x:c r="C33" s="29" t="str">
        <x:v>—</x:v>
      </x:c>
      <x:c r="D33" s="29" t="str">
        <x:v>—</x:v>
      </x:c>
      <x:c r="E33" s="29" t="str">
        <x:v>Member / verify</x:v>
      </x:c>
      <x:c r="F33" s="29" t="str">
        <x:v>Medium</x:v>
      </x:c>
      <x:c r="G33" s="29" t="str">
        <x:v>Self-identified</x:v>
      </x:c>
      <x:c r="H33" s="29" t="str">
        <x:v>Profile verification and relationship development</x:v>
      </x:c>
      <x:c r="I33" s="29" t="str">
        <x:v>Assess expertise and willingness to contribute</x:v>
      </x:c>
      <x:c r="J33" s="29" t="str">
        <x:v>Relationship and referral value; no direct sales assumption</x:v>
      </x:c>
      <x:c r="K33" s="29" t="str">
        <x:v>Confirm organization and decision-making remit.</x:v>
      </x:c>
      <x:c r="L33" s="29" t="str">
        <x:v>Unassigned</x:v>
      </x:c>
      <x:c r="M33" s="29" t="str">
        <x:v>Not started</x:v>
      </x:c>
      <x:c r="N33" s="32"/>
      <x:c r="O33" s="32"/>
      <x:c r="P33" s="29" t="str"/>
    </x:row>
    <x:row r="34">
      <x:c r="A34" s="30" t="n">
        <x:v>45</x:v>
      </x:c>
      <x:c r="B34" s="29" t="str">
        <x:v>Peter Ott</x:v>
      </x:c>
      <x:c r="C34" s="29" t="str">
        <x:v>ISRM Ukraine / humanitarian security sector</x:v>
      </x:c>
      <x:c r="D34" s="29" t="str">
        <x:v>Young Professionals and Mentoring Adviser</x:v>
      </x:c>
      <x:c r="E34" s="29" t="str">
        <x:v>Connector / community multiplier</x:v>
      </x:c>
      <x:c r="F34" s="29" t="str">
        <x:v>Medium</x:v>
      </x:c>
      <x:c r="G34" s="29" t="str">
        <x:v>Confirmed</x:v>
      </x:c>
      <x:c r="H34" s="29" t="str">
        <x:v>Community development and introductions</x:v>
      </x:c>
      <x:c r="I34" s="29" t="str">
        <x:v>Mentor; trainer; programme designer</x:v>
      </x:c>
      <x:c r="J34" s="29" t="str">
        <x:v>Relationship and referral value; no direct sales assumption</x:v>
      </x:c>
      <x:c r="K34" s="29" t="str">
        <x:v>Use for chapter coordination and targeted introductions.</x:v>
      </x:c>
      <x:c r="L34" s="29" t="str">
        <x:v>Unassigned</x:v>
      </x:c>
      <x:c r="M34" s="29" t="str">
        <x:v>Not started</x:v>
      </x:c>
      <x:c r="N34" s="32"/>
      <x:c r="O34" s="32"/>
      <x:c r="P34" s="29" t="str"/>
    </x:row>
    <x:row r="35">
      <x:c r="A35" s="30" t="n">
        <x:v>46</x:v>
      </x:c>
      <x:c r="B35" s="29" t="str">
        <x:v>Paul Radiy</x:v>
      </x:c>
      <x:c r="C35" s="29" t="str">
        <x:v>—</x:v>
      </x:c>
      <x:c r="D35" s="29" t="str">
        <x:v>—</x:v>
      </x:c>
      <x:c r="E35" s="29" t="str">
        <x:v>Member / verify</x:v>
      </x:c>
      <x:c r="F35" s="29" t="str">
        <x:v>Medium</x:v>
      </x:c>
      <x:c r="G35" s="29" t="str">
        <x:v>Self-identified</x:v>
      </x:c>
      <x:c r="H35" s="29" t="str">
        <x:v>Profile verification and relationship development</x:v>
      </x:c>
      <x:c r="I35" s="29" t="str">
        <x:v>Assess expertise and willingness to contribute</x:v>
      </x:c>
      <x:c r="J35" s="29" t="str">
        <x:v>Relationship and referral value; no direct sales assumption</x:v>
      </x:c>
      <x:c r="K35" s="29" t="str">
        <x:v>Confirm employer and sector before outreach.</x:v>
      </x:c>
      <x:c r="L35" s="29" t="str">
        <x:v>Unassigned</x:v>
      </x:c>
      <x:c r="M35" s="29" t="str">
        <x:v>Not started</x:v>
      </x:c>
      <x:c r="N35" s="32"/>
      <x:c r="O35" s="32"/>
      <x:c r="P35" s="29" t="str"/>
    </x:row>
    <x:row r="36">
      <x:c r="A36" s="30" t="n">
        <x:v>48</x:v>
      </x:c>
      <x:c r="B36" s="29" t="str">
        <x:v>Petro Babyak</x:v>
      </x:c>
      <x:c r="C36" s="29" t="str">
        <x:v>Mercy Corps</x:v>
      </x:c>
      <x:c r="D36" s="29" t="str">
        <x:v>Security, Safety and Access Director</x:v>
      </x:c>
      <x:c r="E36" s="29" t="str">
        <x:v>Potential client</x:v>
      </x:c>
      <x:c r="F36" s="29" t="str">
        <x:v>High</x:v>
      </x:c>
      <x:c r="G36" s="29" t="str">
        <x:v>Confirmed</x:v>
      </x:c>
      <x:c r="H36" s="29" t="str">
        <x:v>Institutional / client dialogue</x:v>
      </x:c>
      <x:c r="I36" s="29" t="str">
        <x:v>Senior practitioner speaker; author; standards contributor</x:v>
      </x:c>
      <x:c r="J36" s="29" t="str">
        <x:v>Senior humanitarian security leader with procurement, contracting and duty-of-care exposure.</x:v>
      </x:c>
      <x:c r="K36" s="29" t="str">
        <x:v>Warm approach on NGO legal support, compliance, investigations and incident response.</x:v>
      </x:c>
      <x:c r="L36" s="29" t="str">
        <x:v>Unassigned</x:v>
      </x:c>
      <x:c r="M36" s="29" t="str">
        <x:v>Not started</x:v>
      </x:c>
      <x:c r="N36" s="32"/>
      <x:c r="O36" s="32"/>
      <x:c r="P36" s="29" t="str"/>
    </x:row>
    <x:row r="37">
      <x:c r="A37" s="30" t="n">
        <x:v>49</x:v>
      </x:c>
      <x:c r="B37" s="29" t="str">
        <x:v>Yurii Bilousov</x:v>
      </x:c>
      <x:c r="C37" s="29" t="str">
        <x:v>Yuzkov University</x:v>
      </x:c>
      <x:c r="D37" s="29" t="str">
        <x:v>Academic / professor</x:v>
      </x:c>
      <x:c r="E37" s="29" t="str">
        <x:v>Member / verify</x:v>
      </x:c>
      <x:c r="F37" s="29" t="str">
        <x:v>Medium</x:v>
      </x:c>
      <x:c r="G37" s="29" t="str">
        <x:v>Self-identified</x:v>
      </x:c>
      <x:c r="H37" s="29" t="str">
        <x:v>Profile verification and relationship development</x:v>
      </x:c>
      <x:c r="I37" s="29" t="str">
        <x:v>Author / researcher / academic reviewer</x:v>
      </x:c>
      <x:c r="J37" s="29" t="str">
        <x:v>Relationship and referral value; no direct sales assumption</x:v>
      </x:c>
      <x:c r="K37" s="29" t="str">
        <x:v>Validate institution and engage on research or referrals.</x:v>
      </x:c>
      <x:c r="L37" s="29" t="str">
        <x:v>Unassigned</x:v>
      </x:c>
      <x:c r="M37" s="29" t="str">
        <x:v>Not started</x:v>
      </x:c>
      <x:c r="N37" s="32"/>
      <x:c r="O37" s="32"/>
      <x:c r="P37" s="29" t="str"/>
    </x:row>
    <x:row r="38">
      <x:c r="A38" s="30" t="n">
        <x:v>50</x:v>
      </x:c>
      <x:c r="B38" s="29" t="str">
        <x:v>John Price</x:v>
      </x:c>
      <x:c r="C38" s="29" t="str">
        <x:v>ISRM Ukraine / humanitarian security sector</x:v>
      </x:c>
      <x:c r="D38" s="29" t="str">
        <x:v>Ukraine Chapter Advisory; security professional</x:v>
      </x:c>
      <x:c r="E38" s="29" t="str">
        <x:v>Potential partner / referral</x:v>
      </x:c>
      <x:c r="F38" s="29" t="str">
        <x:v>High</x:v>
      </x:c>
      <x:c r="G38" s="29" t="str">
        <x:v>Confirmed</x:v>
      </x:c>
      <x:c r="H38" s="29" t="str">
        <x:v>Partnership and capability exchange</x:v>
      </x:c>
      <x:c r="I38" s="29" t="str">
        <x:v>Chapter adviser; speaker; interview contributor</x:v>
      </x:c>
      <x:c r="J38" s="29" t="str">
        <x:v>Potential joint delivery, referral or market intelligence</x:v>
      </x:c>
      <x:c r="K38" s="29" t="str">
        <x:v>Coordinate an F&amp;P capability exchange and referral protocol.</x:v>
      </x:c>
      <x:c r="L38" s="29" t="str">
        <x:v>Unassigned</x:v>
      </x:c>
      <x:c r="M38" s="29" t="str">
        <x:v>Not started</x:v>
      </x:c>
      <x:c r="N38" s="32"/>
      <x:c r="O38" s="32"/>
      <x:c r="P38" s="29" t="str"/>
    </x:row>
    <x:row r="39">
      <x:c r="A39" s="30" t="n">
        <x:v>51</x:v>
      </x:c>
      <x:c r="B39" s="29" t="str">
        <x:v>Ran Drori</x:v>
      </x:c>
      <x:c r="C39" s="29" t="str">
        <x:v>—</x:v>
      </x:c>
      <x:c r="D39" s="29" t="str">
        <x:v>—</x:v>
      </x:c>
      <x:c r="E39" s="29" t="str">
        <x:v>Member / verify</x:v>
      </x:c>
      <x:c r="F39" s="29" t="str">
        <x:v>Medium</x:v>
      </x:c>
      <x:c r="G39" s="29" t="str">
        <x:v>Self-identified</x:v>
      </x:c>
      <x:c r="H39" s="29" t="str">
        <x:v>Profile verification and relationship development</x:v>
      </x:c>
      <x:c r="I39" s="29" t="str">
        <x:v>Assess expertise and willingness to contribute</x:v>
      </x:c>
      <x:c r="J39" s="29" t="str">
        <x:v>Relationship and referral value; no direct sales assumption</x:v>
      </x:c>
      <x:c r="K39" s="29" t="str">
        <x:v>Confirm organization and Ukraine activity.</x:v>
      </x:c>
      <x:c r="L39" s="29" t="str">
        <x:v>Unassigned</x:v>
      </x:c>
      <x:c r="M39" s="29" t="str">
        <x:v>Not started</x:v>
      </x:c>
      <x:c r="N39" s="32"/>
      <x:c r="O39" s="32"/>
      <x:c r="P39" s="29" t="str"/>
    </x:row>
    <x:row r="40">
      <x:c r="A40" s="30" t="n">
        <x:v>52</x:v>
      </x:c>
      <x:c r="B40" s="29" t="str">
        <x:v>Revaz Tchirakadze</x:v>
      </x:c>
      <x:c r="C40" s="29" t="str">
        <x:v>OSCE Support Programme for Ukraine</x:v>
      </x:c>
      <x:c r="D40" s="29" t="str">
        <x:v>Security Officer</x:v>
      </x:c>
      <x:c r="E40" s="29" t="str">
        <x:v>Connector / community multiplier</x:v>
      </x:c>
      <x:c r="F40" s="29" t="str">
        <x:v>Medium</x:v>
      </x:c>
      <x:c r="G40" s="29" t="str">
        <x:v>Confirmed</x:v>
      </x:c>
      <x:c r="H40" s="29" t="str">
        <x:v>Community development and introductions</x:v>
      </x:c>
      <x:c r="I40" s="29" t="str">
        <x:v>Practitioner speaker; training contributor; institutional bridge</x:v>
      </x:c>
      <x:c r="J40" s="29" t="str">
        <x:v>Relationship and referral value; no direct sales assumption</x:v>
      </x:c>
      <x:c r="K40" s="29" t="str">
        <x:v>Relationship-first outreach; explore expert exchange rather than a direct sales pitch.</x:v>
      </x:c>
      <x:c r="L40" s="29" t="str">
        <x:v>Unassigned</x:v>
      </x:c>
      <x:c r="M40" s="29" t="str">
        <x:v>Not started</x:v>
      </x:c>
      <x:c r="N40" s="32"/>
      <x:c r="O40" s="32"/>
      <x:c r="P40" s="29" t="str"/>
    </x:row>
    <x:row r="41">
      <x:c r="A41" s="30" t="n">
        <x:v>53</x:v>
      </x:c>
      <x:c r="B41" s="29" t="str">
        <x:v>Robin Seaword</x:v>
      </x:c>
      <x:c r="C41" s="29" t="str">
        <x:v>SSR Consulting</x:v>
      </x:c>
      <x:c r="D41" s="29" t="str">
        <x:v>Security Sector Reform consultant</x:v>
      </x:c>
      <x:c r="E41" s="29" t="str">
        <x:v>Potential partner / referral</x:v>
      </x:c>
      <x:c r="F41" s="29" t="str">
        <x:v>High</x:v>
      </x:c>
      <x:c r="G41" s="29" t="str">
        <x:v>Confirmed</x:v>
      </x:c>
      <x:c r="H41" s="29" t="str">
        <x:v>Partnership and capability exchange</x:v>
      </x:c>
      <x:c r="I41" s="29" t="str">
        <x:v>Governance speaker; senior adviser; case reviewer</x:v>
      </x:c>
      <x:c r="J41" s="29" t="str">
        <x:v>Potential joint delivery, referral or market intelligence</x:v>
      </x:c>
      <x:c r="K41" s="29" t="str">
        <x:v>Propose teaming on governance, investigations and rule-of-law assignments.</x:v>
      </x:c>
      <x:c r="L41" s="29" t="str">
        <x:v>Unassigned</x:v>
      </x:c>
      <x:c r="M41" s="29" t="str">
        <x:v>Not started</x:v>
      </x:c>
      <x:c r="N41" s="32"/>
      <x:c r="O41" s="32"/>
      <x:c r="P41" s="29" t="str"/>
    </x:row>
    <x:row r="42">
      <x:c r="A42" s="30" t="n">
        <x:v>55</x:v>
      </x:c>
      <x:c r="B42" s="29" t="str">
        <x:v>Roman Cioma</x:v>
      </x:c>
      <x:c r="C42" s="29" t="str">
        <x:v>UN Women Ukraine</x:v>
      </x:c>
      <x:c r="D42" s="29" t="str">
        <x:v>Security Specialist</x:v>
      </x:c>
      <x:c r="E42" s="29" t="str">
        <x:v>Connector / community multiplier</x:v>
      </x:c>
      <x:c r="F42" s="29" t="str">
        <x:v>Medium</x:v>
      </x:c>
      <x:c r="G42" s="29" t="str">
        <x:v>Confirmed</x:v>
      </x:c>
      <x:c r="H42" s="29" t="str">
        <x:v>Community development and introductions</x:v>
      </x:c>
      <x:c r="I42" s="29" t="str">
        <x:v>Practitioner interviewee; gender-and-security contributor</x:v>
      </x:c>
      <x:c r="J42" s="29" t="str">
        <x:v>Relationship and referral value; no direct sales assumption</x:v>
      </x:c>
      <x:c r="K42" s="29" t="str">
        <x:v>Approach via shared security context and ask about legal/compliance gaps in programmes.</x:v>
      </x:c>
      <x:c r="L42" s="29" t="str">
        <x:v>Unassigned</x:v>
      </x:c>
      <x:c r="M42" s="29" t="str">
        <x:v>Not started</x:v>
      </x:c>
      <x:c r="N42" s="32"/>
      <x:c r="O42" s="32"/>
      <x:c r="P42" s="29" t="str"/>
    </x:row>
    <x:row r="43">
      <x:c r="A43" s="30" t="n">
        <x:v>56</x:v>
      </x:c>
      <x:c r="B43" s="29" t="str">
        <x:v>Roman Guz</x:v>
      </x:c>
      <x:c r="C43" s="29" t="str">
        <x:v>Hilton Kyiv</x:v>
      </x:c>
      <x:c r="D43" s="29" t="str">
        <x:v>Chief Security</x:v>
      </x:c>
      <x:c r="E43" s="29" t="str">
        <x:v>Potential client</x:v>
      </x:c>
      <x:c r="F43" s="29" t="str">
        <x:v>High</x:v>
      </x:c>
      <x:c r="G43" s="29" t="str">
        <x:v>Self-identified</x:v>
      </x:c>
      <x:c r="H43" s="29" t="str">
        <x:v>Institutional / client dialogue</x:v>
      </x:c>
      <x:c r="I43" s="29" t="str">
        <x:v>Speaker / interviewee / case-study contributor</x:v>
      </x:c>
      <x:c r="J43" s="29" t="str">
        <x:v>Corporate security decision-maker in hospitality with compliance and incident-response needs.</x:v>
      </x:c>
      <x:c r="K43" s="29" t="str">
        <x:v>Validate title and propose corporate investigations/employment/compliance support.</x:v>
      </x:c>
      <x:c r="L43" s="29" t="str">
        <x:v>Unassigned</x:v>
      </x:c>
      <x:c r="M43" s="29" t="str">
        <x:v>Not started</x:v>
      </x:c>
      <x:c r="N43" s="32"/>
      <x:c r="O43" s="32"/>
      <x:c r="P43" s="29" t="str"/>
    </x:row>
    <x:row r="44">
      <x:c r="A44" s="30" t="n">
        <x:v>57</x:v>
      </x:c>
      <x:c r="B44" s="29" t="str">
        <x:v>Rudy Vandaele-Kennedy</x:v>
      </x:c>
      <x:c r="C44" s="29" t="str">
        <x:v>Cadro</x:v>
      </x:c>
      <x:c r="D44" s="29" t="str">
        <x:v>Senior Client Adviser</x:v>
      </x:c>
      <x:c r="E44" s="29" t="str">
        <x:v>Potential client</x:v>
      </x:c>
      <x:c r="F44" s="29" t="str">
        <x:v>High</x:v>
      </x:c>
      <x:c r="G44" s="29" t="str">
        <x:v>Confirmed</x:v>
      </x:c>
      <x:c r="H44" s="29" t="str">
        <x:v>Institutional / client dialogue</x:v>
      </x:c>
      <x:c r="I44" s="29" t="str">
        <x:v>Comparative-case speaker; senior mentor</x:v>
      </x:c>
      <x:c r="J44" s="29" t="str">
        <x:v>Strategic advisory and wealth/business network; potential cross-border and referral work.</x:v>
      </x:c>
      <x:c r="K44" s="29" t="str">
        <x:v>Senior relationship approach focused on cross-border structuring and mutual referrals.</x:v>
      </x:c>
      <x:c r="L44" s="29" t="str">
        <x:v>Unassigned</x:v>
      </x:c>
      <x:c r="M44" s="29" t="str">
        <x:v>Not started</x:v>
      </x:c>
      <x:c r="N44" s="32"/>
      <x:c r="O44" s="32"/>
      <x:c r="P44" s="29" t="str"/>
    </x:row>
    <x:row r="45">
      <x:c r="A45" s="30" t="n">
        <x:v>58</x:v>
      </x:c>
      <x:c r="B45" s="29" t="str">
        <x:v>Rusudan Makhachashvili</x:v>
      </x:c>
      <x:c r="C45" s="29" t="str">
        <x:v>Borys Grinchenko Kyiv Metropolitan University / ISRM Ukraine</x:v>
      </x:c>
      <x:c r="D45" s="29" t="str">
        <x:v>Professor; Academic Liaison</x:v>
      </x:c>
      <x:c r="E45" s="29" t="str">
        <x:v>Connector / community multiplier</x:v>
      </x:c>
      <x:c r="F45" s="29" t="str">
        <x:v>Medium</x:v>
      </x:c>
      <x:c r="G45" s="29" t="str">
        <x:v>Confirmed</x:v>
      </x:c>
      <x:c r="H45" s="29" t="str">
        <x:v>Community development and introductions</x:v>
      </x:c>
      <x:c r="I45" s="29" t="str">
        <x:v>Academic lead; author; conference speaker</x:v>
      </x:c>
      <x:c r="J45" s="29" t="str">
        <x:v>Relationship and referral value; no direct sales assumption</x:v>
      </x:c>
      <x:c r="K45" s="29" t="str">
        <x:v>Use for expert events and introductions, not a cold commercial pitch.</x:v>
      </x:c>
      <x:c r="L45" s="29" t="str">
        <x:v>Unassigned</x:v>
      </x:c>
      <x:c r="M45" s="29" t="str">
        <x:v>Not started</x:v>
      </x:c>
      <x:c r="N45" s="32"/>
      <x:c r="O45" s="32"/>
      <x:c r="P45" s="29" t="str"/>
    </x:row>
    <x:row r="46">
      <x:c r="A46" s="30" t="n">
        <x:v>59</x:v>
      </x:c>
      <x:c r="B46" s="29" t="str">
        <x:v>S. Murphy</x:v>
      </x:c>
      <x:c r="C46" s="29" t="str">
        <x:v>OSCE Support Programme for Ukraine</x:v>
      </x:c>
      <x:c r="D46" s="29" t="str">
        <x:v>Senior Security Officer</x:v>
      </x:c>
      <x:c r="E46" s="29" t="str">
        <x:v>Connector / community multiplier</x:v>
      </x:c>
      <x:c r="F46" s="29" t="str">
        <x:v>Medium</x:v>
      </x:c>
      <x:c r="G46" s="29" t="str">
        <x:v>Self-identified</x:v>
      </x:c>
      <x:c r="H46" s="29" t="str">
        <x:v>Community development and introductions</x:v>
      </x:c>
      <x:c r="I46" s="29" t="str">
        <x:v>Speaker / interviewee / case-study contributor</x:v>
      </x:c>
      <x:c r="J46" s="29" t="str">
        <x:v>Relationship and referral value; no direct sales assumption</x:v>
      </x:c>
      <x:c r="K46" s="29" t="str">
        <x:v>Resolve first name and engage relationship-first.</x:v>
      </x:c>
      <x:c r="L46" s="29" t="str">
        <x:v>Unassigned</x:v>
      </x:c>
      <x:c r="M46" s="29" t="str">
        <x:v>Not started</x:v>
      </x:c>
      <x:c r="N46" s="32"/>
      <x:c r="O46" s="32"/>
      <x:c r="P46" s="29" t="str"/>
    </x:row>
    <x:row r="47">
      <x:c r="A47" s="30" t="n">
        <x:v>60</x:v>
      </x:c>
      <x:c r="B47" s="29" t="str">
        <x:v>Sarah Parsons</x:v>
      </x:c>
      <x:c r="C47" s="29" t="str">
        <x:v>—</x:v>
      </x:c>
      <x:c r="D47" s="29" t="str">
        <x:v>—</x:v>
      </x:c>
      <x:c r="E47" s="29" t="str">
        <x:v>Member / verify</x:v>
      </x:c>
      <x:c r="F47" s="29" t="str">
        <x:v>Medium</x:v>
      </x:c>
      <x:c r="G47" s="29" t="str">
        <x:v>Self-identified</x:v>
      </x:c>
      <x:c r="H47" s="29" t="str">
        <x:v>Profile verification and relationship development</x:v>
      </x:c>
      <x:c r="I47" s="29" t="str">
        <x:v>Assess expertise and willingness to contribute</x:v>
      </x:c>
      <x:c r="J47" s="29" t="str">
        <x:v>Relationship and referral value; no direct sales assumption</x:v>
      </x:c>
      <x:c r="K47" s="29" t="str">
        <x:v>Confirm employer and Ukraine remit.</x:v>
      </x:c>
      <x:c r="L47" s="29" t="str">
        <x:v>Unassigned</x:v>
      </x:c>
      <x:c r="M47" s="29" t="str">
        <x:v>Not started</x:v>
      </x:c>
      <x:c r="N47" s="32"/>
      <x:c r="O47" s="32"/>
      <x:c r="P47" s="29" t="str"/>
    </x:row>
    <x:row r="48">
      <x:c r="A48" s="30" t="n">
        <x:v>61</x:v>
      </x:c>
      <x:c r="B48" s="29" t="str">
        <x:v>Sasha Shapkina</x:v>
      </x:c>
      <x:c r="C48" s="29" t="str">
        <x:v>—</x:v>
      </x:c>
      <x:c r="D48" s="29" t="str">
        <x:v>—</x:v>
      </x:c>
      <x:c r="E48" s="29" t="str">
        <x:v>Member / verify</x:v>
      </x:c>
      <x:c r="F48" s="29" t="str">
        <x:v>Medium</x:v>
      </x:c>
      <x:c r="G48" s="29" t="str">
        <x:v>Self-identified</x:v>
      </x:c>
      <x:c r="H48" s="29" t="str">
        <x:v>Profile verification and relationship development</x:v>
      </x:c>
      <x:c r="I48" s="29" t="str">
        <x:v>Assess expertise and willingness to contribute</x:v>
      </x:c>
      <x:c r="J48" s="29" t="str">
        <x:v>Relationship and referral value; no direct sales assumption</x:v>
      </x:c>
      <x:c r="K48" s="29" t="str">
        <x:v>Ask for current organization and function.</x:v>
      </x:c>
      <x:c r="L48" s="29" t="str">
        <x:v>Unassigned</x:v>
      </x:c>
      <x:c r="M48" s="29" t="str">
        <x:v>Not started</x:v>
      </x:c>
      <x:c r="N48" s="32"/>
      <x:c r="O48" s="32"/>
      <x:c r="P48" s="29" t="str"/>
    </x:row>
    <x:row r="49">
      <x:c r="A49" s="30" t="n">
        <x:v>63</x:v>
      </x:c>
      <x:c r="B49" s="29" t="str">
        <x:v>Sergii Mau</x:v>
      </x:c>
      <x:c r="C49" s="29" t="str">
        <x:v>—</x:v>
      </x:c>
      <x:c r="D49" s="29" t="str">
        <x:v>—</x:v>
      </x:c>
      <x:c r="E49" s="29" t="str">
        <x:v>Member / verify</x:v>
      </x:c>
      <x:c r="F49" s="29" t="str">
        <x:v>Medium</x:v>
      </x:c>
      <x:c r="G49" s="29" t="str">
        <x:v>Self-identified</x:v>
      </x:c>
      <x:c r="H49" s="29" t="str">
        <x:v>Profile verification and relationship development</x:v>
      </x:c>
      <x:c r="I49" s="29" t="str">
        <x:v>Assess expertise and willingness to contribute</x:v>
      </x:c>
      <x:c r="J49" s="29" t="str">
        <x:v>Relationship and referral value; no direct sales assumption</x:v>
      </x:c>
      <x:c r="K49" s="29" t="str">
        <x:v>Ask for current organization and function.</x:v>
      </x:c>
      <x:c r="L49" s="29" t="str">
        <x:v>Unassigned</x:v>
      </x:c>
      <x:c r="M49" s="29" t="str">
        <x:v>Not started</x:v>
      </x:c>
      <x:c r="N49" s="32"/>
      <x:c r="O49" s="32"/>
      <x:c r="P49" s="29" t="str"/>
    </x:row>
    <x:row r="50">
      <x:c r="A50" s="30" t="n">
        <x:v>67</x:v>
      </x:c>
      <x:c r="B50" s="29" t="str">
        <x:v>Solomia Matsola</x:v>
      </x:c>
      <x:c r="C50" s="29" t="str">
        <x:v>Academic sector</x:v>
      </x:c>
      <x:c r="D50" s="29" t="str">
        <x:v>Researcher / academic; exact current role unverified</x:v>
      </x:c>
      <x:c r="E50" s="29" t="str">
        <x:v>Member / verify</x:v>
      </x:c>
      <x:c r="F50" s="29" t="str">
        <x:v>Medium</x:v>
      </x:c>
      <x:c r="G50" s="29" t="str">
        <x:v>Probable</x:v>
      </x:c>
      <x:c r="H50" s="29" t="str">
        <x:v>Profile verification and relationship development</x:v>
      </x:c>
      <x:c r="I50" s="29" t="str">
        <x:v>Author / researcher / academic reviewer</x:v>
      </x:c>
      <x:c r="J50" s="29" t="str">
        <x:v>Relationship and referral value; no direct sales assumption</x:v>
      </x:c>
      <x:c r="K50" s="29" t="str">
        <x:v>Verify affiliation before engagement.</x:v>
      </x:c>
      <x:c r="L50" s="29" t="str">
        <x:v>Unassigned</x:v>
      </x:c>
      <x:c r="M50" s="29" t="str">
        <x:v>Not started</x:v>
      </x:c>
      <x:c r="N50" s="32"/>
      <x:c r="O50" s="32"/>
      <x:c r="P50" s="29" t="str"/>
    </x:row>
    <x:row r="51">
      <x:c r="A51" s="30" t="n">
        <x:v>69</x:v>
      </x:c>
      <x:c r="B51" s="29" t="str">
        <x:v>Tara Neitzey</x:v>
      </x:c>
      <x:c r="C51" s="29" t="str">
        <x:v>Ukrainian Patriot</x:v>
      </x:c>
      <x:c r="D51" s="29" t="str">
        <x:v>Board Chair / Treasurer / operations contributor</x:v>
      </x:c>
      <x:c r="E51" s="29" t="str">
        <x:v>Connector / community multiplier</x:v>
      </x:c>
      <x:c r="F51" s="29" t="str">
        <x:v>Medium</x:v>
      </x:c>
      <x:c r="G51" s="29" t="str">
        <x:v>Confirmed</x:v>
      </x:c>
      <x:c r="H51" s="29" t="str">
        <x:v>Community development and introductions</x:v>
      </x:c>
      <x:c r="I51" s="29" t="str">
        <x:v>Humanitarian speaker; nonprofit-governance contributor; connector</x:v>
      </x:c>
      <x:c r="J51" s="29" t="str">
        <x:v>Relationship and referral value; no direct sales assumption</x:v>
      </x:c>
      <x:c r="K51" s="29" t="str">
        <x:v>Explore referrals and legal support for nonprofit operations and partnerships.</x:v>
      </x:c>
      <x:c r="L51" s="29" t="str">
        <x:v>Unassigned</x:v>
      </x:c>
      <x:c r="M51" s="29" t="str">
        <x:v>Not started</x:v>
      </x:c>
      <x:c r="N51" s="32"/>
      <x:c r="O51" s="32"/>
      <x:c r="P51" s="29" t="str"/>
    </x:row>
    <x:row r="52">
      <x:c r="A52" s="30" t="n">
        <x:v>72</x:v>
      </x:c>
      <x:c r="B52" s="29" t="str">
        <x:v>Tetiana Cherniavska</x:v>
      </x:c>
      <x:c r="C52" s="29" t="str">
        <x:v>Venbest LLC</x:v>
      </x:c>
      <x:c r="D52" s="29" t="str">
        <x:v>Risk Analyst</x:v>
      </x:c>
      <x:c r="E52" s="29" t="str">
        <x:v>Potential partner / referral</x:v>
      </x:c>
      <x:c r="F52" s="29" t="str">
        <x:v>High</x:v>
      </x:c>
      <x:c r="G52" s="29" t="str">
        <x:v>Self-identified</x:v>
      </x:c>
      <x:c r="H52" s="29" t="str">
        <x:v>Partnership and capability exchange</x:v>
      </x:c>
      <x:c r="I52" s="29" t="str">
        <x:v>Assess expertise and willingness to contribute</x:v>
      </x:c>
      <x:c r="J52" s="29" t="str">
        <x:v>Potential joint delivery, referral or market intelligence</x:v>
      </x:c>
      <x:c r="K52" s="29" t="str">
        <x:v>Propose an expert exchange and identify Venbest legal/compliance decision-makers.</x:v>
      </x:c>
      <x:c r="L52" s="29" t="str">
        <x:v>Unassigned</x:v>
      </x:c>
      <x:c r="M52" s="29" t="str">
        <x:v>Not started</x:v>
      </x:c>
      <x:c r="N52" s="32"/>
      <x:c r="O52" s="32"/>
      <x:c r="P52" s="29" t="str"/>
    </x:row>
    <x:row r="53">
      <x:c r="A53" s="30" t="n">
        <x:v>73</x:v>
      </x:c>
      <x:c r="B53" s="29" t="str">
        <x:v>Toby Illingworth</x:v>
      </x:c>
      <x:c r="C53" s="29" t="str">
        <x:v>Yashchenko Foundation</x:v>
      </x:c>
      <x:c r="D53" s="29" t="str">
        <x:v>Founder</x:v>
      </x:c>
      <x:c r="E53" s="29" t="str">
        <x:v>Potential client</x:v>
      </x:c>
      <x:c r="F53" s="29" t="str">
        <x:v>High</x:v>
      </x:c>
      <x:c r="G53" s="29" t="str">
        <x:v>Self-identified</x:v>
      </x:c>
      <x:c r="H53" s="29" t="str">
        <x:v>Institutional / client dialogue</x:v>
      </x:c>
      <x:c r="I53" s="29" t="str">
        <x:v>Speaker / interviewee / case-study contributor</x:v>
      </x:c>
      <x:c r="J53" s="29" t="str">
        <x:v>Foundation founder; possible NGO, governance and cross-border legal needs.</x:v>
      </x:c>
      <x:c r="K53" s="29" t="str">
        <x:v>Validate foundation activity and approach around governance, grants and Ukraine operations.</x:v>
      </x:c>
      <x:c r="L53" s="29" t="str">
        <x:v>Unassigned</x:v>
      </x:c>
      <x:c r="M53" s="29" t="str">
        <x:v>Not started</x:v>
      </x:c>
      <x:c r="N53" s="32"/>
      <x:c r="O53" s="32"/>
      <x:c r="P53" s="29" t="str"/>
    </x:row>
    <x:row r="54">
      <x:c r="A54" s="30" t="n">
        <x:v>74</x:v>
      </x:c>
      <x:c r="B54" s="29" t="str">
        <x:v>Tymofii (surname unknown)</x:v>
      </x:c>
      <x:c r="C54" s="29" t="str">
        <x:v>HelpAge International</x:v>
      </x:c>
      <x:c r="D54" s="29" t="str">
        <x:v>Security Manager</x:v>
      </x:c>
      <x:c r="E54" s="29" t="str">
        <x:v>Potential client</x:v>
      </x:c>
      <x:c r="F54" s="29" t="str">
        <x:v>High</x:v>
      </x:c>
      <x:c r="G54" s="29" t="str">
        <x:v>Partial</x:v>
      </x:c>
      <x:c r="H54" s="29" t="str">
        <x:v>Institutional / client dialogue</x:v>
      </x:c>
      <x:c r="I54" s="29" t="str">
        <x:v>Speaker / interviewee / case-study contributor</x:v>
      </x:c>
      <x:c r="J54" s="29" t="str">
        <x:v>NGO security manager with duty-of-care, contracting and incident needs.</x:v>
      </x:c>
      <x:c r="K54" s="29" t="str">
        <x:v>Resolve surname, then tailor an NGO legal/compliance approach.</x:v>
      </x:c>
      <x:c r="L54" s="29" t="str">
        <x:v>Unassigned</x:v>
      </x:c>
      <x:c r="M54" s="29" t="str">
        <x:v>Not started</x:v>
      </x:c>
      <x:c r="N54" s="32"/>
      <x:c r="O54" s="32"/>
      <x:c r="P54" s="29" t="str"/>
    </x:row>
    <x:row r="55">
      <x:c r="A55" s="30" t="n">
        <x:v>77</x:v>
      </x:c>
      <x:c r="B55" s="29" t="str">
        <x:v>Vasyl Piskunov</x:v>
      </x:c>
      <x:c r="C55" s="29" t="str">
        <x:v>INSO Ukraine</x:v>
      </x:c>
      <x:c r="D55" s="29" t="str">
        <x:v>Safety Adviser</x:v>
      </x:c>
      <x:c r="E55" s="29" t="str">
        <x:v>Connector / community multiplier</x:v>
      </x:c>
      <x:c r="F55" s="29" t="str">
        <x:v>Medium</x:v>
      </x:c>
      <x:c r="G55" s="29" t="str">
        <x:v>Self-identified</x:v>
      </x:c>
      <x:c r="H55" s="29" t="str">
        <x:v>Community development and introductions</x:v>
      </x:c>
      <x:c r="I55" s="29" t="str">
        <x:v>Speaker / interviewee / case-study contributor</x:v>
      </x:c>
      <x:c r="J55" s="29" t="str">
        <x:v>Relationship and referral value; no direct sales assumption</x:v>
      </x:c>
      <x:c r="K55" s="29" t="str">
        <x:v>Relationship-led contact and request introductions to NGO decision-makers.</x:v>
      </x:c>
      <x:c r="L55" s="29" t="str">
        <x:v>Unassigned</x:v>
      </x:c>
      <x:c r="M55" s="29" t="str">
        <x:v>Not started</x:v>
      </x:c>
      <x:c r="N55" s="32"/>
      <x:c r="O55" s="32"/>
      <x:c r="P55" s="29" t="str"/>
    </x:row>
    <x:row r="56">
      <x:c r="A56" s="30" t="n">
        <x:v>78</x:v>
      </x:c>
      <x:c r="B56" s="29" t="str">
        <x:v>Viktor Riabokin</x:v>
      </x:c>
      <x:c r="C56" s="29" t="str">
        <x:v>Harvard Ukraine programme / Vidbudova</x:v>
      </x:c>
      <x:c r="D56" s="29" t="str">
        <x:v>Senior Adviser, Global Partnerships</x:v>
      </x:c>
      <x:c r="E56" s="29" t="str">
        <x:v>Potential client</x:v>
      </x:c>
      <x:c r="F56" s="29" t="str">
        <x:v>High</x:v>
      </x:c>
      <x:c r="G56" s="29" t="str">
        <x:v>Confirmed</x:v>
      </x:c>
      <x:c r="H56" s="29" t="str">
        <x:v>Institutional / client dialogue</x:v>
      </x:c>
      <x:c r="I56" s="29" t="str">
        <x:v>Reconstruction speaker; partnership lead; programme adviser</x:v>
      </x:c>
      <x:c r="J56" s="29" t="str">
        <x:v>Reconstruction/infrastructure profile with project, contract and investment legal needs.</x:v>
      </x:c>
      <x:c r="K56" s="29" t="str">
        <x:v>Partner-level outreach around reconstruction projects, contracts and investors.</x:v>
      </x:c>
      <x:c r="L56" s="29" t="str">
        <x:v>Unassigned</x:v>
      </x:c>
      <x:c r="M56" s="29" t="str">
        <x:v>Not started</x:v>
      </x:c>
      <x:c r="N56" s="32"/>
      <x:c r="O56" s="32"/>
      <x:c r="P56" s="29" t="str"/>
    </x:row>
    <x:row r="57">
      <x:c r="A57" s="30" t="n">
        <x:v>79</x:v>
      </x:c>
      <x:c r="B57" s="29" t="str">
        <x:v>Vitalii Stoliarchuk</x:v>
      </x:c>
      <x:c r="C57" s="29" t="str">
        <x:v>State Design Office Yuzhnoye / aerospace R&amp;D</x:v>
      </x:c>
      <x:c r="D57" s="29" t="str">
        <x:v>Testing engineer and research leader</x:v>
      </x:c>
      <x:c r="E57" s="29" t="str">
        <x:v>Potential client</x:v>
      </x:c>
      <x:c r="F57" s="29" t="str">
        <x:v>High</x:v>
      </x:c>
      <x:c r="G57" s="29" t="str">
        <x:v>Confirmed</x:v>
      </x:c>
      <x:c r="H57" s="29" t="str">
        <x:v>Institutional / client dialogue</x:v>
      </x:c>
      <x:c r="I57" s="29" t="str">
        <x:v>Technical speaker; research contributor; innovation mentor</x:v>
      </x:c>
      <x:c r="J57" s="29" t="str">
        <x:v>Deep-tech and aerospace profile; potential IP, contracting and investment needs.</x:v>
      </x:c>
      <x:c r="K57" s="29" t="str">
        <x:v>Explore corporate/IP/export-control requirements and investor readiness.</x:v>
      </x:c>
      <x:c r="L57" s="29" t="str">
        <x:v>Unassigned</x:v>
      </x:c>
      <x:c r="M57" s="29" t="str">
        <x:v>Not started</x:v>
      </x:c>
      <x:c r="N57" s="32"/>
      <x:c r="O57" s="32"/>
      <x:c r="P57" s="29" t="str"/>
    </x:row>
    <x:row r="58">
      <x:c r="A58" s="30" t="n">
        <x:v>80</x:v>
      </x:c>
      <x:c r="B58" s="29" t="str">
        <x:v>Vitaly Muraviev</x:v>
      </x:c>
      <x:c r="C58" s="29" t="str">
        <x:v>Independent</x:v>
      </x:c>
      <x:c r="D58" s="29" t="str">
        <x:v>Freelance Consultant</x:v>
      </x:c>
      <x:c r="E58" s="29" t="str">
        <x:v>Connector / community multiplier</x:v>
      </x:c>
      <x:c r="F58" s="29" t="str">
        <x:v>Medium</x:v>
      </x:c>
      <x:c r="G58" s="29" t="str">
        <x:v>Confirmed</x:v>
      </x:c>
      <x:c r="H58" s="29" t="str">
        <x:v>Community development and introductions</x:v>
      </x:c>
      <x:c r="I58" s="29" t="str">
        <x:v>Profile verification first</x:v>
      </x:c>
      <x:c r="J58" s="29" t="str">
        <x:v>Relationship and referral value; no direct sales assumption</x:v>
      </x:c>
      <x:c r="K58" s="29" t="str">
        <x:v>Clarify sector focus and explore reciprocal referrals.</x:v>
      </x:c>
      <x:c r="L58" s="29" t="str">
        <x:v>Unassigned</x:v>
      </x:c>
      <x:c r="M58" s="29" t="str">
        <x:v>Not started</x:v>
      </x:c>
      <x:c r="N58" s="32"/>
      <x:c r="O58" s="32"/>
      <x:c r="P58" s="29" t="str"/>
    </x:row>
    <x:row r="59">
      <x:c r="A59" s="30" t="n">
        <x:v>82</x:v>
      </x:c>
      <x:c r="B59" s="29" t="str">
        <x:v>Volodymyr (surname unknown)</x:v>
      </x:c>
      <x:c r="C59" s="29" t="str">
        <x:v>Caritas-Spes Ukraine</x:v>
      </x:c>
      <x:c r="D59" s="29" t="str">
        <x:v>Risk &amp; Security Manager</x:v>
      </x:c>
      <x:c r="E59" s="29" t="str">
        <x:v>Potential client</x:v>
      </x:c>
      <x:c r="F59" s="29" t="str">
        <x:v>High</x:v>
      </x:c>
      <x:c r="G59" s="29" t="str">
        <x:v>Partial</x:v>
      </x:c>
      <x:c r="H59" s="29" t="str">
        <x:v>Institutional / client dialogue</x:v>
      </x:c>
      <x:c r="I59" s="29" t="str">
        <x:v>Speaker / interviewee / case-study contributor</x:v>
      </x:c>
      <x:c r="J59" s="29" t="str">
        <x:v>Senior NGO risk role with concrete compliance, employment and incident-response needs.</x:v>
      </x:c>
      <x:c r="K59" s="29" t="str">
        <x:v>Resolve surname through Caritas/ISRM and request a focused needs call.</x:v>
      </x:c>
      <x:c r="L59" s="29" t="str">
        <x:v>Unassigned</x:v>
      </x:c>
      <x:c r="M59" s="29" t="str">
        <x:v>Not started</x:v>
      </x:c>
      <x:c r="N59" s="32"/>
      <x:c r="O59" s="32"/>
      <x:c r="P59" s="29" t="str"/>
    </x:row>
    <x:row r="60">
      <x:c r="A60" s="30" t="n">
        <x:v>83</x:v>
      </x:c>
      <x:c r="B60" s="29" t="str">
        <x:v>Will Giddings</x:v>
      </x:c>
      <x:c r="C60" s="29" t="str">
        <x:v>Dow Jones</x:v>
      </x:c>
      <x:c r="D60" s="29" t="str">
        <x:v>Risk Manager</x:v>
      </x:c>
      <x:c r="E60" s="29" t="str">
        <x:v>Potential client</x:v>
      </x:c>
      <x:c r="F60" s="29" t="str">
        <x:v>High</x:v>
      </x:c>
      <x:c r="G60" s="29" t="str">
        <x:v>Self-identified</x:v>
      </x:c>
      <x:c r="H60" s="29" t="str">
        <x:v>Institutional / client dialogue</x:v>
      </x:c>
      <x:c r="I60" s="29" t="str">
        <x:v>Speaker / interviewee / case-study contributor</x:v>
      </x:c>
      <x:c r="J60" s="29" t="str">
        <x:v>Corporate risk manager at a global information company; investigations and compliance fit.</x:v>
      </x:c>
      <x:c r="K60" s="29" t="str">
        <x:v>Validate current remit, then offer Ukraine investigations and legal-risk support.</x:v>
      </x:c>
      <x:c r="L60" s="29" t="str">
        <x:v>Unassigned</x:v>
      </x:c>
      <x:c r="M60" s="29" t="str">
        <x:v>Not started</x:v>
      </x:c>
      <x:c r="N60" s="32"/>
      <x:c r="O60" s="32"/>
      <x:c r="P60" s="29" t="str"/>
    </x:row>
    <x:row r="61">
      <x:c r="A61" s="30" t="n">
        <x:v>84</x:v>
      </x:c>
      <x:c r="B61" s="29" t="str">
        <x:v>Oscar Yatsyno</x:v>
      </x:c>
      <x:c r="C61" s="29" t="str">
        <x:v>Caritas</x:v>
      </x:c>
      <x:c r="D61" s="29" t="str">
        <x:v>DHSSA / security-related role</x:v>
      </x:c>
      <x:c r="E61" s="29" t="str">
        <x:v>Connector / community multiplier</x:v>
      </x:c>
      <x:c r="F61" s="29" t="str">
        <x:v>Medium</x:v>
      </x:c>
      <x:c r="G61" s="29" t="str">
        <x:v>Self-identified</x:v>
      </x:c>
      <x:c r="H61" s="29" t="str">
        <x:v>Community development and introductions</x:v>
      </x:c>
      <x:c r="I61" s="29" t="str">
        <x:v>Assess expertise and willingness to contribute</x:v>
      </x:c>
      <x:c r="J61" s="29" t="str">
        <x:v>Relationship and referral value; no direct sales assumption</x:v>
      </x:c>
      <x:c r="K61" s="29" t="str">
        <x:v>Clarify exact function and procurement influence.</x:v>
      </x:c>
      <x:c r="L61" s="29" t="str">
        <x:v>Unassigned</x:v>
      </x:c>
      <x:c r="M61" s="29" t="str">
        <x:v>Not started</x:v>
      </x:c>
      <x:c r="N61" s="32"/>
      <x:c r="O61" s="32"/>
      <x:c r="P61" s="29" t="str"/>
    </x:row>
    <x:row r="62">
      <x:c r="A62" s="30" t="n">
        <x:v>85</x:v>
      </x:c>
      <x:c r="B62" s="29" t="str">
        <x:v>Yomi Kleinmann</x:v>
      </x:c>
      <x:c r="C62" s="29" t="str">
        <x:v>Nonviolent Peaceforce Ukraine</x:v>
      </x:c>
      <x:c r="D62" s="29" t="str">
        <x:v>Head of Programmes</x:v>
      </x:c>
      <x:c r="E62" s="29" t="str">
        <x:v>Potential client</x:v>
      </x:c>
      <x:c r="F62" s="29" t="str">
        <x:v>High</x:v>
      </x:c>
      <x:c r="G62" s="29" t="str">
        <x:v>Confirmed</x:v>
      </x:c>
      <x:c r="H62" s="29" t="str">
        <x:v>Institutional / client dialogue</x:v>
      </x:c>
      <x:c r="I62" s="29" t="str">
        <x:v>Senior humanitarian speaker; case author; programme partner</x:v>
      </x:c>
      <x:c r="J62" s="29" t="str">
        <x:v>Senior programme leader in Ukraine humanitarian operations; broad legal and compliance needs.</x:v>
      </x:c>
      <x:c r="K62" s="29" t="str">
        <x:v>Warm outreach around NGO operations, grants, employment and duty of care.</x:v>
      </x:c>
      <x:c r="L62" s="29" t="str">
        <x:v>Unassigned</x:v>
      </x:c>
      <x:c r="M62" s="29" t="str">
        <x:v>Not started</x:v>
      </x:c>
      <x:c r="N62" s="32"/>
      <x:c r="O62" s="32"/>
      <x:c r="P62" s="29" t="str"/>
    </x:row>
    <x:row r="63">
      <x:c r="A63" s="30" t="n">
        <x:v>89</x:v>
      </x:c>
      <x:c r="B63" s="29" t="str">
        <x:v>Igor (surname unknown)</x:v>
      </x:c>
      <x:c r="C63" s="29" t="str">
        <x:v>NGO Misto Syly</x:v>
      </x:c>
      <x:c r="D63" s="29" t="str">
        <x:v>Project Manager</x:v>
      </x:c>
      <x:c r="E63" s="29" t="str">
        <x:v>Member / verify</x:v>
      </x:c>
      <x:c r="F63" s="29" t="str">
        <x:v>Medium</x:v>
      </x:c>
      <x:c r="G63" s="29" t="str">
        <x:v>Partial</x:v>
      </x:c>
      <x:c r="H63" s="29" t="str">
        <x:v>Profile verification and relationship development</x:v>
      </x:c>
      <x:c r="I63" s="29" t="str">
        <x:v>Speaker / interviewee / case-study contributor</x:v>
      </x:c>
      <x:c r="J63" s="29" t="str">
        <x:v>Relationship and referral value; no direct sales assumption</x:v>
      </x:c>
      <x:c r="K63" s="29" t="str">
        <x:v>Resolve surname and current project scope.</x:v>
      </x:c>
      <x:c r="L63" s="29" t="str">
        <x:v>Unassigned</x:v>
      </x:c>
      <x:c r="M63" s="29" t="str">
        <x:v>Not started</x:v>
      </x:c>
      <x:c r="N63" s="32"/>
      <x:c r="O63" s="32"/>
      <x:c r="P63" s="29" t="str"/>
    </x:row>
    <x:row r="64">
      <x:c r="A64" s="30" t="n">
        <x:v>90</x:v>
      </x:c>
      <x:c r="B64" s="29" t="str">
        <x:v>Iryna “Khoi” Hoi</x:v>
      </x:c>
      <x:c r="C64" s="29" t="str">
        <x:v>Azov.Care / 12th Azov support unit / Pharmaxi</x:v>
      </x:c>
      <x:c r="D64" s="29" t="str">
        <x:v>Founder; Head of Medical Division; business-development leader</x:v>
      </x:c>
      <x:c r="E64" s="29" t="str">
        <x:v>Potential client</x:v>
      </x:c>
      <x:c r="F64" s="29" t="str">
        <x:v>High</x:v>
      </x:c>
      <x:c r="G64" s="29" t="str">
        <x:v>Confirmed</x:v>
      </x:c>
      <x:c r="H64" s="29" t="str">
        <x:v>Institutional / client dialogue</x:v>
      </x:c>
      <x:c r="I64" s="29" t="str">
        <x:v>Keynote speaker; leadership case author; women-in-risk mentor</x:v>
      </x:c>
      <x:c r="J64" s="29" t="str">
        <x:v>Medical and nonprofit operations may require governance, contracting and compliance support.</x:v>
      </x:c>
      <x:c r="K64" s="29" t="str">
        <x:v>Approach carefully with a concrete nonprofit/medical legal-services proposition.</x:v>
      </x:c>
      <x:c r="L64" s="29" t="str">
        <x:v>Unassigned</x:v>
      </x:c>
      <x:c r="M64" s="29" t="str">
        <x:v>Not started</x:v>
      </x:c>
      <x:c r="N64" s="32"/>
      <x:c r="O64" s="32"/>
      <x:c r="P64" s="29" t="str"/>
    </x:row>
    <x:row r="65">
      <x:c r="A65" s="30" t="n">
        <x:v>91</x:v>
      </x:c>
      <x:c r="B65" s="29" t="str">
        <x:v>Max Hryshchenko</x:v>
      </x:c>
      <x:c r="C65" s="29" t="str">
        <x:v>—</x:v>
      </x:c>
      <x:c r="D65" s="29" t="str">
        <x:v>—</x:v>
      </x:c>
      <x:c r="E65" s="29" t="str">
        <x:v>Member / verify</x:v>
      </x:c>
      <x:c r="F65" s="29" t="str">
        <x:v>Medium</x:v>
      </x:c>
      <x:c r="G65" s="29" t="str">
        <x:v>Self-identified</x:v>
      </x:c>
      <x:c r="H65" s="29" t="str">
        <x:v>Profile verification and relationship development</x:v>
      </x:c>
      <x:c r="I65" s="29" t="str">
        <x:v>Assess expertise and willingness to contribute</x:v>
      </x:c>
      <x:c r="J65" s="29" t="str">
        <x:v>Relationship and referral value; no direct sales assumption</x:v>
      </x:c>
      <x:c r="K65" s="29" t="str">
        <x:v>Confirm employer and decision-making role.</x:v>
      </x:c>
      <x:c r="L65" s="29" t="str">
        <x:v>Unassigned</x:v>
      </x:c>
      <x:c r="M65" s="29" t="str">
        <x:v>Not started</x:v>
      </x:c>
      <x:c r="N65" s="32"/>
      <x:c r="O65" s="32"/>
      <x:c r="P65" s="29" t="str"/>
    </x:row>
    <x:row r="66">
      <x:c r="A66" s="30" t="n">
        <x:v>93</x:v>
      </x:c>
      <x:c r="B66" s="29" t="str">
        <x:v>Natalia Martseniuk</x:v>
      </x:c>
      <x:c r="C66" s="29" t="str">
        <x:v>NULES (probable)</x:v>
      </x:c>
      <x:c r="D66" s="29" t="str">
        <x:v>Aquaculture academic (probable)</x:v>
      </x:c>
      <x:c r="E66" s="29" t="str">
        <x:v>Member / verify</x:v>
      </x:c>
      <x:c r="F66" s="29" t="str">
        <x:v>Medium</x:v>
      </x:c>
      <x:c r="G66" s="29" t="str">
        <x:v>Probable</x:v>
      </x:c>
      <x:c r="H66" s="29" t="str">
        <x:v>Profile verification and relationship development</x:v>
      </x:c>
      <x:c r="I66" s="29" t="str">
        <x:v>Author / researcher / academic reviewer</x:v>
      </x:c>
      <x:c r="J66" s="29" t="str">
        <x:v>Relationship and referral value; no direct sales assumption</x:v>
      </x:c>
      <x:c r="K66" s="29" t="str">
        <x:v>Confirm affiliation; otherwise keep as unqualified network contact.</x:v>
      </x:c>
      <x:c r="L66" s="29" t="str">
        <x:v>Unassigned</x:v>
      </x:c>
      <x:c r="M66" s="29" t="str">
        <x:v>Not started</x:v>
      </x:c>
      <x:c r="N66" s="32"/>
      <x:c r="O66" s="32"/>
      <x:c r="P66" s="29" t="str"/>
    </x:row>
    <x:row r="67">
      <x:c r="A67" s="30" t="n">
        <x:v>94</x:v>
      </x:c>
      <x:c r="B67" s="29" t="str">
        <x:v>Oleksandr Ionin</x:v>
      </x:c>
      <x:c r="C67" s="29" t="str">
        <x:v>Riley Risk</x:v>
      </x:c>
      <x:c r="D67" s="29" t="str">
        <x:v>Country Security Adviser</x:v>
      </x:c>
      <x:c r="E67" s="29" t="str">
        <x:v>Potential partner / referral</x:v>
      </x:c>
      <x:c r="F67" s="29" t="str">
        <x:v>High</x:v>
      </x:c>
      <x:c r="G67" s="29" t="str">
        <x:v>Confirmed</x:v>
      </x:c>
      <x:c r="H67" s="29" t="str">
        <x:v>Partnership and capability exchange</x:v>
      </x:c>
      <x:c r="I67" s="29" t="str">
        <x:v>Analyst speaker; briefing contributor; case-study author</x:v>
      </x:c>
      <x:c r="J67" s="29" t="str">
        <x:v>Potential joint delivery, referral or market intelligence</x:v>
      </x:c>
      <x:c r="K67" s="29" t="str">
        <x:v>Offer legal-risk support for Ukraine client mandates and reciprocal referrals.</x:v>
      </x:c>
      <x:c r="L67" s="29" t="str">
        <x:v>Unassigned</x:v>
      </x:c>
      <x:c r="M67" s="29" t="str">
        <x:v>Not started</x:v>
      </x:c>
      <x:c r="N67" s="32"/>
      <x:c r="O67" s="32"/>
      <x:c r="P67" s="29" t="str"/>
    </x:row>
    <x:row r="68">
      <x:c r="A68" s="30" t="n">
        <x:v>95</x:v>
      </x:c>
      <x:c r="B68" s="29" t="str">
        <x:v>Oksana Davydenko</x:v>
      </x:c>
      <x:c r="C68" s="29" t="str">
        <x:v>Starlight Media</x:v>
      </x:c>
      <x:c r="D68" s="29" t="str">
        <x:v>Deputy Director for Legal Affairs (public match)</x:v>
      </x:c>
      <x:c r="E68" s="29" t="str">
        <x:v>Potential client</x:v>
      </x:c>
      <x:c r="F68" s="29" t="str">
        <x:v>High</x:v>
      </x:c>
      <x:c r="G68" s="29" t="str">
        <x:v>Probable</x:v>
      </x:c>
      <x:c r="H68" s="29" t="str">
        <x:v>Institutional / client dialogue</x:v>
      </x:c>
      <x:c r="I68" s="29" t="str">
        <x:v>Speaker / interviewee / case-study contributor</x:v>
      </x:c>
      <x:c r="J68" s="29" t="str">
        <x:v>Senior in-house legal profile; media/regulatory and corporate needs align with F&amp;P.</x:v>
      </x:c>
      <x:c r="K68" s="29" t="str">
        <x:v>Verify identity before a discreet partner-level introduction.</x:v>
      </x:c>
      <x:c r="L68" s="29" t="str">
        <x:v>Unassigned</x:v>
      </x:c>
      <x:c r="M68" s="29" t="str">
        <x:v>Not started</x:v>
      </x:c>
      <x:c r="N68" s="32"/>
      <x:c r="O68" s="32"/>
      <x:c r="P68" s="29" t="str"/>
    </x:row>
    <x:row r="69">
      <x:c r="A69" s="30" t="n">
        <x:v>96</x:v>
      </x:c>
      <x:c r="B69" s="29" t="str">
        <x:v>Oleh Zasadnyi</x:v>
      </x:c>
      <x:c r="C69" s="29" t="str">
        <x:v>Public / project management sector</x:v>
      </x:c>
      <x:c r="D69" s="29" t="str">
        <x:v>Former Lviv Euro-2012 department director (public match)</x:v>
      </x:c>
      <x:c r="E69" s="29" t="str">
        <x:v>Connector / community multiplier</x:v>
      </x:c>
      <x:c r="F69" s="29" t="str">
        <x:v>Medium</x:v>
      </x:c>
      <x:c r="G69" s="29" t="str">
        <x:v>Probable</x:v>
      </x:c>
      <x:c r="H69" s="29" t="str">
        <x:v>Community development and introductions</x:v>
      </x:c>
      <x:c r="I69" s="29" t="str">
        <x:v>Speaker / interviewee / case-study contributor</x:v>
      </x:c>
      <x:c r="J69" s="29" t="str">
        <x:v>Relationship and referral value; no direct sales assumption</x:v>
      </x:c>
      <x:c r="K69" s="29" t="str">
        <x:v>Verify current role before engagement.</x:v>
      </x:c>
      <x:c r="L69" s="29" t="str">
        <x:v>Unassigned</x:v>
      </x:c>
      <x:c r="M69" s="29" t="str">
        <x:v>Not started</x:v>
      </x:c>
      <x:c r="N69" s="32"/>
      <x:c r="O69" s="32"/>
      <x:c r="P69" s="29" t="str"/>
    </x:row>
    <x:row r="70">
      <x:c r="A70" s="30" t="n">
        <x:v>97</x:v>
      </x:c>
      <x:c r="B70" s="29" t="str">
        <x:v>Serhii Hrabskyi</x:v>
      </x:c>
      <x:c r="C70" s="29" t="str">
        <x:v>Independent / media</x:v>
      </x:c>
      <x:c r="D70" s="29" t="str">
        <x:v>Reserve Colonel and military-security commentator</x:v>
      </x:c>
      <x:c r="E70" s="29" t="str">
        <x:v>Connector / community multiplier</x:v>
      </x:c>
      <x:c r="F70" s="29" t="str">
        <x:v>Medium</x:v>
      </x:c>
      <x:c r="G70" s="29" t="str">
        <x:v>Confirmed</x:v>
      </x:c>
      <x:c r="H70" s="29" t="str">
        <x:v>Community development and introductions</x:v>
      </x:c>
      <x:c r="I70" s="29" t="str">
        <x:v>Military-risk speaker; scenario contributor; analyst</x:v>
      </x:c>
      <x:c r="J70" s="29" t="str">
        <x:v>Relationship and referral value; no direct sales assumption</x:v>
      </x:c>
      <x:c r="K70" s="29" t="str">
        <x:v>Engage as expert/connector around defense, investigations and crisis risk.</x:v>
      </x:c>
      <x:c r="L70" s="29" t="str">
        <x:v>Unassigned</x:v>
      </x:c>
      <x:c r="M70" s="29" t="str">
        <x:v>Not started</x:v>
      </x:c>
      <x:c r="N70" s="32"/>
      <x:c r="O70" s="32"/>
      <x:c r="P70" s="29" t="str"/>
    </x:row>
    <x:row r="71">
      <x:c r="A71" s="30" t="n">
        <x:v>98</x:v>
      </x:c>
      <x:c r="B71" s="29" t="str">
        <x:v>Serhii Hubiak</x:v>
      </x:c>
      <x:c r="C71" s="29" t="str">
        <x:v>Osprey Global Solutions Ukraine</x:v>
      </x:c>
      <x:c r="D71" s="29" t="str">
        <x:v>Chairman and co-founder</x:v>
      </x:c>
      <x:c r="E71" s="29" t="str">
        <x:v>Potential client</x:v>
      </x:c>
      <x:c r="F71" s="29" t="str">
        <x:v>High</x:v>
      </x:c>
      <x:c r="G71" s="29" t="str">
        <x:v>Confirmed — phone matched</x:v>
      </x:c>
      <x:c r="H71" s="29" t="str">
        <x:v>Institutional / client dialogue</x:v>
      </x:c>
      <x:c r="I71" s="29" t="str">
        <x:v>Institutional partner; speaker; legal/governance contributor</x:v>
      </x:c>
      <x:c r="J71" s="29" t="str">
        <x:v>Exact public phone match and senior Ukraine security-business role; very strong fit.</x:v>
      </x:c>
      <x:c r="K71" s="29" t="str">
        <x:v>Priority senior outreach on legal support, projects and referrals.</x:v>
      </x:c>
      <x:c r="L71" s="29" t="str">
        <x:v>Unassigned</x:v>
      </x:c>
      <x:c r="M71" s="29" t="str">
        <x:v>Not started</x:v>
      </x:c>
      <x:c r="N71" s="32"/>
      <x:c r="O71" s="32"/>
      <x:c r="P71" s="29" t="str"/>
    </x:row>
    <x:row r="72">
      <x:c r="A72" s="30" t="n">
        <x:v>99</x:v>
      </x:c>
      <x:c r="B72" s="29" t="str">
        <x:v>Yurii (surname unknown)</x:v>
      </x:c>
      <x:c r="C72" s="29" t="str">
        <x:v>GCS Ukraine</x:v>
      </x:c>
      <x:c r="D72" s="29" t="str">
        <x:v>Security Manager</x:v>
      </x:c>
      <x:c r="E72" s="29" t="str">
        <x:v>Potential client</x:v>
      </x:c>
      <x:c r="F72" s="29" t="str">
        <x:v>High</x:v>
      </x:c>
      <x:c r="G72" s="29" t="str">
        <x:v>Partial</x:v>
      </x:c>
      <x:c r="H72" s="29" t="str">
        <x:v>Institutional / client dialogue</x:v>
      </x:c>
      <x:c r="I72" s="29" t="str">
        <x:v>Speaker / interviewee / case-study contributor</x:v>
      </x:c>
      <x:c r="J72" s="29" t="str">
        <x:v>Corporate security manager; direct buyer signal but identity incomplete.</x:v>
      </x:c>
      <x:c r="K72" s="29" t="str">
        <x:v>Resolve surname, then propose investigations/compliance and incident support.</x:v>
      </x:c>
      <x:c r="L72" s="29" t="str">
        <x:v>Unassigned</x:v>
      </x:c>
      <x:c r="M72" s="29" t="str">
        <x:v>Not started</x:v>
      </x:c>
      <x:c r="N72" s="32"/>
      <x:c r="O72" s="32"/>
      <x:c r="P72" s="29" t="str"/>
    </x:row>
    <x:row r="73">
      <x:c r="A73" s="30" t="n">
        <x:v>114</x:v>
      </x:c>
      <x:c r="B73" s="29" t="str">
        <x:v>Matt Fensom</x:v>
      </x:c>
      <x:c r="C73" s="29" t="str">
        <x:v>Independent / former UK military</x:v>
      </x:c>
      <x:c r="D73" s="29" t="str">
        <x:v>Former OF-5 UK military officer</x:v>
      </x:c>
      <x:c r="E73" s="29" t="str">
        <x:v>Connector / community multiplier</x:v>
      </x:c>
      <x:c r="F73" s="29" t="str">
        <x:v>Medium</x:v>
      </x:c>
      <x:c r="G73" s="29" t="str">
        <x:v>Self-identified</x:v>
      </x:c>
      <x:c r="H73" s="29" t="str">
        <x:v>Community development and introductions</x:v>
      </x:c>
      <x:c r="I73" s="29" t="str">
        <x:v>Speaker / interviewee / case-study contributor</x:v>
      </x:c>
      <x:c r="J73" s="29" t="str">
        <x:v>Relationship and referral value; no direct sales assumption</x:v>
      </x:c>
      <x:c r="K73" s="29" t="str">
        <x:v>Verify current commercial role and Ukraine activity.</x:v>
      </x:c>
      <x:c r="L73" s="29" t="str">
        <x:v>Unassigned</x:v>
      </x:c>
      <x:c r="M73" s="29" t="str">
        <x:v>Not started</x:v>
      </x:c>
      <x:c r="N73" s="32"/>
      <x:c r="O73" s="32"/>
      <x:c r="P73" s="29" t="str"/>
    </x:row>
    <x:row r="74">
      <x:c r="A74" s="30" t="n">
        <x:v>139</x:v>
      </x:c>
      <x:c r="B74" s="29" t="str">
        <x:v>Anastasiya Marchuk</x:v>
      </x:c>
      <x:c r="C74" s="29" t="str">
        <x:v>Nonviolent Peaceforce Ukraine</x:v>
      </x:c>
      <x:c r="D74" s="29" t="str">
        <x:v>Head of Mission</x:v>
      </x:c>
      <x:c r="E74" s="29" t="str">
        <x:v>Potential client</x:v>
      </x:c>
      <x:c r="F74" s="29" t="str">
        <x:v>High</x:v>
      </x:c>
      <x:c r="G74" s="29" t="str">
        <x:v>Confirmed</x:v>
      </x:c>
      <x:c r="H74" s="29" t="str">
        <x:v>Institutional / client dialogue</x:v>
      </x:c>
      <x:c r="I74" s="29" t="str">
        <x:v>Keynote speaker; case author; humanitarian partner</x:v>
      </x:c>
      <x:c r="J74" s="29" t="str">
        <x:v>Country leader with decision authority across NGO operations and compliance.</x:v>
      </x:c>
      <x:c r="K74" s="29" t="str">
        <x:v>Priority warm outreach on NGO legal, employment, grants and duty-of-care support.</x:v>
      </x:c>
      <x:c r="L74" s="29" t="str">
        <x:v>Unassigned</x:v>
      </x:c>
      <x:c r="M74" s="29" t="str">
        <x:v>Not started</x:v>
      </x:c>
      <x:c r="N74" s="32"/>
      <x:c r="O74" s="32"/>
      <x:c r="P74" s="29" t="str"/>
    </x:row>
    <x:row r="75">
      <x:c r="A75" s="30" t="n">
        <x:v>141</x:v>
      </x:c>
      <x:c r="B75" s="29" t="str">
        <x:v>Andrii Lukashenko</x:v>
      </x:c>
      <x:c r="C75" s="29" t="str">
        <x:v>SmartRiskSolutions Ukraine / ISRM Ukraine</x:v>
      </x:c>
      <x:c r="D75" s="29" t="str">
        <x:v>Founder and Deputy Director; Chapter Vice-Chair</x:v>
      </x:c>
      <x:c r="E75" s="29" t="str">
        <x:v>Potential partner / referral</x:v>
      </x:c>
      <x:c r="F75" s="29" t="str">
        <x:v>High</x:v>
      </x:c>
      <x:c r="G75" s="29" t="str">
        <x:v>Confirmed</x:v>
      </x:c>
      <x:c r="H75" s="29" t="str">
        <x:v>Partnership and capability exchange</x:v>
      </x:c>
      <x:c r="I75" s="29" t="str">
        <x:v>Chapter leader; trainer; senior speaker; mentor</x:v>
      </x:c>
      <x:c r="J75" s="29" t="str">
        <x:v>Potential joint delivery, referral or market intelligence</x:v>
      </x:c>
      <x:c r="K75" s="29" t="str">
        <x:v>Coordinate validation of the register and a structured F&amp;P–ISRM partnership.</x:v>
      </x:c>
      <x:c r="L75" s="29" t="str">
        <x:v>Unassigned</x:v>
      </x:c>
      <x:c r="M75" s="29" t="str">
        <x:v>Not started</x:v>
      </x:c>
      <x:c r="N75" s="32"/>
      <x:c r="O75" s="32"/>
      <x:c r="P75" s="29" t="str"/>
    </x:row>
    <x:row r="76">
      <x:c r="A76" s="30" t="n">
        <x:v>147</x:v>
      </x:c>
      <x:c r="B76" s="29" t="str">
        <x:v>Bogdan (surname unknown)</x:v>
      </x:c>
      <x:c r="C76" s="29" t="str">
        <x:v>SK Security</x:v>
      </x:c>
      <x:c r="D76" s="29" t="str">
        <x:v>Adviser</x:v>
      </x:c>
      <x:c r="E76" s="29" t="str">
        <x:v>Potential partner / referral</x:v>
      </x:c>
      <x:c r="F76" s="29" t="str">
        <x:v>High</x:v>
      </x:c>
      <x:c r="G76" s="29" t="str">
        <x:v>Partial</x:v>
      </x:c>
      <x:c r="H76" s="29" t="str">
        <x:v>Partnership and capability exchange</x:v>
      </x:c>
      <x:c r="I76" s="29" t="str">
        <x:v>Speaker / interviewee / case-study contributor</x:v>
      </x:c>
      <x:c r="J76" s="29" t="str">
        <x:v>Potential joint delivery, referral or market intelligence</x:v>
      </x:c>
      <x:c r="K76" s="29" t="str">
        <x:v>Resolve surname and company profile before outreach.</x:v>
      </x:c>
      <x:c r="L76" s="29" t="str">
        <x:v>Unassigned</x:v>
      </x:c>
      <x:c r="M76" s="29" t="str">
        <x:v>Not started</x:v>
      </x:c>
      <x:c r="N76" s="32"/>
      <x:c r="O76" s="32"/>
      <x:c r="P76" s="29" t="str"/>
    </x:row>
    <x:row r="77">
      <x:c r="A77" s="30" t="n">
        <x:v>150</x:v>
      </x:c>
      <x:c r="B77" s="29" t="str">
        <x:v>Camille Pajor</x:v>
      </x:c>
      <x:c r="C77" s="29" t="str">
        <x:v>Adapted Relief Collective</x:v>
      </x:c>
      <x:c r="D77" s="29" t="str">
        <x:v>Humanitarian professional</x:v>
      </x:c>
      <x:c r="E77" s="29" t="str">
        <x:v>Potential client</x:v>
      </x:c>
      <x:c r="F77" s="29" t="str">
        <x:v>High</x:v>
      </x:c>
      <x:c r="G77" s="29" t="str">
        <x:v>Confirmed</x:v>
      </x:c>
      <x:c r="H77" s="29" t="str">
        <x:v>Institutional / client dialogue</x:v>
      </x:c>
      <x:c r="I77" s="29" t="str">
        <x:v>Practitioner interviewee; humanitarian contributor</x:v>
      </x:c>
      <x:c r="J77" s="29" t="str">
        <x:v>Humanitarian operator with potential NGO governance and cross-border legal needs.</x:v>
      </x:c>
      <x:c r="K77" s="29" t="str">
        <x:v>Approach on Ukraine programme contracting, compliance and partnerships.</x:v>
      </x:c>
      <x:c r="L77" s="29" t="str">
        <x:v>Unassigned</x:v>
      </x:c>
      <x:c r="M77" s="29" t="str">
        <x:v>Not started</x:v>
      </x:c>
      <x:c r="N77" s="32"/>
      <x:c r="O77" s="32"/>
      <x:c r="P77" s="29" t="str"/>
    </x:row>
    <x:row r="78">
      <x:c r="A78" s="30" t="n">
        <x:v>151</x:v>
      </x:c>
      <x:c r="B78" s="29" t="str">
        <x:v>Carl Robinson</x:v>
      </x:c>
      <x:c r="C78" s="29" t="str">
        <x:v>Oxfam Ukraine</x:v>
      </x:c>
      <x:c r="D78" s="29" t="str">
        <x:v>Country Safety and Security Coordinator</x:v>
      </x:c>
      <x:c r="E78" s="29" t="str">
        <x:v>Potential client</x:v>
      </x:c>
      <x:c r="F78" s="29" t="str">
        <x:v>High</x:v>
      </x:c>
      <x:c r="G78" s="29" t="str">
        <x:v>Confirmed</x:v>
      </x:c>
      <x:c r="H78" s="29" t="str">
        <x:v>Institutional / client dialogue</x:v>
      </x:c>
      <x:c r="I78" s="29" t="str">
        <x:v>Practitioner speaker; case contributor; standards reviewer</x:v>
      </x:c>
      <x:c r="J78" s="29" t="str">
        <x:v>Senior NGO security professional with operational legal and duty-of-care needs.</x:v>
      </x:c>
      <x:c r="K78" s="29" t="str">
        <x:v>Warm sector introduction with an NGO legal-risk proposition.</x:v>
      </x:c>
      <x:c r="L78" s="29" t="str">
        <x:v>Unassigned</x:v>
      </x:c>
      <x:c r="M78" s="29" t="str">
        <x:v>Not started</x:v>
      </x:c>
      <x:c r="N78" s="32"/>
      <x:c r="O78" s="32"/>
      <x:c r="P78" s="29" t="str"/>
    </x:row>
    <x:row r="79">
      <x:c r="A79" s="30" t="n">
        <x:v>152</x:v>
      </x:c>
      <x:c r="B79" s="29" t="str">
        <x:v>Cassie Blackett-Ord</x:v>
      </x:c>
      <x:c r="C79" s="29" t="str">
        <x:v>ActionAid International</x:v>
      </x:c>
      <x:c r="D79" s="29" t="str">
        <x:v>Global Security Lead; INSSA Board Chair</x:v>
      </x:c>
      <x:c r="E79" s="29" t="str">
        <x:v>Potential client</x:v>
      </x:c>
      <x:c r="F79" s="29" t="str">
        <x:v>High</x:v>
      </x:c>
      <x:c r="G79" s="29" t="str">
        <x:v>Confirmed</x:v>
      </x:c>
      <x:c r="H79" s="29" t="str">
        <x:v>Institutional / client dialogue</x:v>
      </x:c>
      <x:c r="I79" s="29" t="str">
        <x:v>Senior speaker; standards partner; training adviser</x:v>
      </x:c>
      <x:c r="J79" s="29" t="str">
        <x:v>International NGO security coordinator; good fit for legal/compliance and incident support.</x:v>
      </x:c>
      <x:c r="K79" s="29" t="str">
        <x:v>Approach via shared ISRM/NGO context with a concise service offer.</x:v>
      </x:c>
      <x:c r="L79" s="29" t="str">
        <x:v>Unassigned</x:v>
      </x:c>
      <x:c r="M79" s="29" t="str">
        <x:v>Not started</x:v>
      </x:c>
      <x:c r="N79" s="32"/>
      <x:c r="O79" s="32"/>
      <x:c r="P79" s="29" t="str"/>
    </x:row>
    <x:row r="80">
      <x:c r="A80" s="30" t="n">
        <x:v>153</x:v>
      </x:c>
      <x:c r="B80" s="29" t="str">
        <x:v>Charlie Hutchinson</x:v>
      </x:c>
      <x:c r="C80" s="29" t="str">
        <x:v>Spearfish Security</x:v>
      </x:c>
      <x:c r="D80" s="29" t="str">
        <x:v>Ukraine and Eastern Europe Regional Manager</x:v>
      </x:c>
      <x:c r="E80" s="29" t="str">
        <x:v>Potential partner / referral</x:v>
      </x:c>
      <x:c r="F80" s="29" t="str">
        <x:v>High</x:v>
      </x:c>
      <x:c r="G80" s="29" t="str">
        <x:v>Confirmed</x:v>
      </x:c>
      <x:c r="H80" s="29" t="str">
        <x:v>Partnership and capability exchange</x:v>
      </x:c>
      <x:c r="I80" s="29" t="str">
        <x:v>Trainer; practitioner speaker; case-study author</x:v>
      </x:c>
      <x:c r="J80" s="29" t="str">
        <x:v>Potential joint delivery, referral or market intelligence</x:v>
      </x:c>
      <x:c r="K80" s="29" t="str">
        <x:v>Partner-level capability exchange on Ukraine mandates.</x:v>
      </x:c>
      <x:c r="L80" s="29" t="str">
        <x:v>Unassigned</x:v>
      </x:c>
      <x:c r="M80" s="29" t="str">
        <x:v>Not started</x:v>
      </x:c>
      <x:c r="N80" s="32"/>
      <x:c r="O80" s="32"/>
      <x:c r="P80" s="29" t="str"/>
    </x:row>
    <x:row r="81">
      <x:c r="A81" s="30" t="n">
        <x:v>154</x:v>
      </x:c>
      <x:c r="B81" s="29" t="str">
        <x:v>Chris MacLeod (probable)</x:v>
      </x:c>
      <x:c r="C81" s="29" t="str">
        <x:v>Independent; formerly World Vision (public match)</x:v>
      </x:c>
      <x:c r="D81" s="29" t="str">
        <x:v>Security professional / freelancer</x:v>
      </x:c>
      <x:c r="E81" s="29" t="str">
        <x:v>Potential partner / referral</x:v>
      </x:c>
      <x:c r="F81" s="29" t="str">
        <x:v>High</x:v>
      </x:c>
      <x:c r="G81" s="29" t="str">
        <x:v>Probable</x:v>
      </x:c>
      <x:c r="H81" s="29" t="str">
        <x:v>Partnership and capability exchange</x:v>
      </x:c>
      <x:c r="I81" s="29" t="str">
        <x:v>Assess expertise and willingness to contribute</x:v>
      </x:c>
      <x:c r="J81" s="29" t="str">
        <x:v>Potential joint delivery, referral or market intelligence</x:v>
      </x:c>
      <x:c r="K81" s="29" t="str">
        <x:v>Confirm full name and current consultancy before outreach.</x:v>
      </x:c>
      <x:c r="L81" s="29" t="str">
        <x:v>Unassigned</x:v>
      </x:c>
      <x:c r="M81" s="29" t="str">
        <x:v>Not started</x:v>
      </x:c>
      <x:c r="N81" s="32"/>
      <x:c r="O81" s="32"/>
      <x:c r="P81" s="29" t="str"/>
    </x:row>
    <x:row r="82">
      <x:c r="A82" s="30" t="n">
        <x:v>155</x:v>
      </x:c>
      <x:c r="B82" s="29" t="str">
        <x:v>Christian (surname unknown)</x:v>
      </x:c>
      <x:c r="C82" s="29" t="str">
        <x:v>ISRM Ukraine</x:v>
      </x:c>
      <x:c r="D82" s="29" t="str">
        <x:v>Deputy Events &amp; Membership</x:v>
      </x:c>
      <x:c r="E82" s="29" t="str">
        <x:v>Connector / community multiplier</x:v>
      </x:c>
      <x:c r="F82" s="29" t="str">
        <x:v>Medium</x:v>
      </x:c>
      <x:c r="G82" s="29" t="str">
        <x:v>Partial</x:v>
      </x:c>
      <x:c r="H82" s="29" t="str">
        <x:v>Community development and introductions</x:v>
      </x:c>
      <x:c r="I82" s="29" t="str">
        <x:v>Chapter leadership / member mobilisation / editorial contributor</x:v>
      </x:c>
      <x:c r="J82" s="29" t="str">
        <x:v>Relationship and referral value; no direct sales assumption</x:v>
      </x:c>
      <x:c r="K82" s="29" t="str">
        <x:v>Resolve surname and coordinate an F&amp;P expert event.</x:v>
      </x:c>
      <x:c r="L82" s="29" t="str">
        <x:v>Unassigned</x:v>
      </x:c>
      <x:c r="M82" s="29" t="str">
        <x:v>Not started</x:v>
      </x:c>
      <x:c r="N82" s="32"/>
      <x:c r="O82" s="32"/>
      <x:c r="P82" s="29" t="str"/>
    </x:row>
    <x:row r="83">
      <x:c r="A83" s="30" t="n">
        <x:v>157</x:v>
      </x:c>
      <x:c r="B83" s="29" t="str">
        <x:v>Damon Farrell</x:v>
      </x:c>
      <x:c r="C83" s="29" t="str">
        <x:v>Forward Global Markets / Forward UA</x:v>
      </x:c>
      <x:c r="D83" s="29" t="str">
        <x:v>Founder and CEO</x:v>
      </x:c>
      <x:c r="E83" s="29" t="str">
        <x:v>Potential client</x:v>
      </x:c>
      <x:c r="F83" s="29" t="str">
        <x:v>High</x:v>
      </x:c>
      <x:c r="G83" s="29" t="str">
        <x:v>Confirmed</x:v>
      </x:c>
      <x:c r="H83" s="29" t="str">
        <x:v>Institutional / client dialogue</x:v>
      </x:c>
      <x:c r="I83" s="29" t="str">
        <x:v>Business speaker; reconstruction partner; economic-resilience contributor</x:v>
      </x:c>
      <x:c r="J83" s="29" t="str">
        <x:v>Executive in cross-border markets with Ukraine exposure; strong corporate and regulatory fit.</x:v>
      </x:c>
      <x:c r="K83" s="29" t="str">
        <x:v>Priority partner-led outreach on structuring, regulation and Ukraine transactions.</x:v>
      </x:c>
      <x:c r="L83" s="29" t="str">
        <x:v>Unassigned</x:v>
      </x:c>
      <x:c r="M83" s="29" t="str">
        <x:v>Not started</x:v>
      </x:c>
      <x:c r="N83" s="32"/>
      <x:c r="O83" s="32"/>
      <x:c r="P83" s="29" t="str"/>
    </x:row>
    <x:row r="84">
      <x:c r="A84" s="30" t="n">
        <x:v>160</x:v>
      </x:c>
      <x:c r="B84" s="29" t="str">
        <x:v>David Plaster</x:v>
      </x:c>
      <x:c r="C84" s="29" t="str">
        <x:v>Anomaly / Kyiv Center for Defense Policy</x:v>
      </x:c>
      <x:c r="D84" s="29" t="str">
        <x:v>Founder and Chairman; co-founder</x:v>
      </x:c>
      <x:c r="E84" s="29" t="str">
        <x:v>Potential client</x:v>
      </x:c>
      <x:c r="F84" s="29" t="str">
        <x:v>High</x:v>
      </x:c>
      <x:c r="G84" s="29" t="str">
        <x:v>Confirmed</x:v>
      </x:c>
      <x:c r="H84" s="29" t="str">
        <x:v>Institutional / client dialogue</x:v>
      </x:c>
      <x:c r="I84" s="29" t="str">
        <x:v>Keynote speaker; training partner; case author</x:v>
      </x:c>
      <x:c r="J84" s="29" t="str">
        <x:v>Ukraine medical/nonprofit organization with governance, contracting and compliance needs.</x:v>
      </x:c>
      <x:c r="K84" s="29" t="str">
        <x:v>Tailored outreach around nonprofit governance and medical-programme legal risk.</x:v>
      </x:c>
      <x:c r="L84" s="29" t="str">
        <x:v>Unassigned</x:v>
      </x:c>
      <x:c r="M84" s="29" t="str">
        <x:v>Not started</x:v>
      </x:c>
      <x:c r="N84" s="32"/>
      <x:c r="O84" s="32"/>
      <x:c r="P84" s="29" t="str"/>
    </x:row>
    <x:row r="85">
      <x:c r="A85" s="30" t="n">
        <x:v>161</x:v>
      </x:c>
      <x:c r="B85" s="29" t="str">
        <x:v>David Francis Blanc</x:v>
      </x:c>
      <x:c r="C85" s="29" t="str">
        <x:v>Independent</x:v>
      </x:c>
      <x:c r="D85" s="29" t="str">
        <x:v>Writer; former soldier and police officer</x:v>
      </x:c>
      <x:c r="E85" s="29" t="str">
        <x:v>Member / verify</x:v>
      </x:c>
      <x:c r="F85" s="29" t="str">
        <x:v>Medium</x:v>
      </x:c>
      <x:c r="G85" s="29" t="str">
        <x:v>Confirmed</x:v>
      </x:c>
      <x:c r="H85" s="29" t="str">
        <x:v>Profile verification and relationship development</x:v>
      </x:c>
      <x:c r="I85" s="29" t="str">
        <x:v>Commentator or writing contributor after editorial review</x:v>
      </x:c>
      <x:c r="J85" s="29" t="str">
        <x:v>Relationship and referral value; no direct sales assumption</x:v>
      </x:c>
      <x:c r="K85" s="29" t="str">
        <x:v>Keep as expert/media connector; no generic sales outreach.</x:v>
      </x:c>
      <x:c r="L85" s="29" t="str">
        <x:v>Unassigned</x:v>
      </x:c>
      <x:c r="M85" s="29" t="str">
        <x:v>Not started</x:v>
      </x:c>
      <x:c r="N85" s="32"/>
      <x:c r="O85" s="32"/>
      <x:c r="P85" s="29" t="str"/>
    </x:row>
    <x:row r="86">
      <x:c r="A86" s="30" t="n">
        <x:v>162</x:v>
      </x:c>
      <x:c r="B86" s="29" t="str">
        <x:v>David Rubens</x:v>
      </x:c>
      <x:c r="C86" s="29" t="str">
        <x:v>Institute of Strategic Risk Management</x:v>
      </x:c>
      <x:c r="D86" s="29" t="str">
        <x:v>Founder and Executive Director</x:v>
      </x:c>
      <x:c r="E86" s="29" t="str">
        <x:v>Potential partner / referral</x:v>
      </x:c>
      <x:c r="F86" s="29" t="str">
        <x:v>High</x:v>
      </x:c>
      <x:c r="G86" s="29" t="str">
        <x:v>Confirmed</x:v>
      </x:c>
      <x:c r="H86" s="29" t="str">
        <x:v>Partnership and capability exchange</x:v>
      </x:c>
      <x:c r="I86" s="29" t="str">
        <x:v>Executive sponsor; editorial lead; international convenor</x:v>
      </x:c>
      <x:c r="J86" s="29" t="str">
        <x:v>Potential joint delivery, referral or market intelligence</x:v>
      </x:c>
      <x:c r="K86" s="29" t="str">
        <x:v>Senior-level discussion on referral channels, joint events and Ukraine mandates.</x:v>
      </x:c>
      <x:c r="L86" s="29" t="str">
        <x:v>Unassigned</x:v>
      </x:c>
      <x:c r="M86" s="29" t="str">
        <x:v>Not started</x:v>
      </x:c>
      <x:c r="N86" s="32"/>
      <x:c r="O86" s="32"/>
      <x:c r="P86" s="29" t="str"/>
    </x:row>
    <x:row r="87">
      <x:c r="A87" s="30" t="n">
        <x:v>164</x:v>
      </x:c>
      <x:c r="B87" s="29" t="str">
        <x:v>Dmytro Drizhd</x:v>
      </x:c>
      <x:c r="C87" s="29" t="str">
        <x:v>Independent / humanitarian sector</x:v>
      </x:c>
      <x:c r="D87" s="29" t="str">
        <x:v>Former Head of Mission, arche noVa Ukraine</x:v>
      </x:c>
      <x:c r="E87" s="29" t="str">
        <x:v>Connector / community multiplier</x:v>
      </x:c>
      <x:c r="F87" s="29" t="str">
        <x:v>Medium</x:v>
      </x:c>
      <x:c r="G87" s="29" t="str">
        <x:v>Confirmed</x:v>
      </x:c>
      <x:c r="H87" s="29" t="str">
        <x:v>Community development and introductions</x:v>
      </x:c>
      <x:c r="I87" s="29" t="str">
        <x:v>Humanitarian leader; case author; mentor</x:v>
      </x:c>
      <x:c r="J87" s="29" t="str">
        <x:v>Relationship and referral value; no direct sales assumption</x:v>
      </x:c>
      <x:c r="K87" s="29" t="str">
        <x:v>Reconnect to learn current role and seek warm introductions.</x:v>
      </x:c>
      <x:c r="L87" s="29" t="str">
        <x:v>Unassigned</x:v>
      </x:c>
      <x:c r="M87" s="29" t="str">
        <x:v>Not started</x:v>
      </x:c>
      <x:c r="N87" s="32"/>
      <x:c r="O87" s="32"/>
      <x:c r="P87" s="29" t="str"/>
    </x:row>
    <x:row r="88">
      <x:c r="A88" s="30" t="n">
        <x:v>166</x:v>
      </x:c>
      <x:c r="B88" s="29" t="str">
        <x:v>Ermina Strutinschi</x:v>
      </x:c>
      <x:c r="C88" s="29" t="str">
        <x:v>Vesper Group Ukraine</x:v>
      </x:c>
      <x:c r="D88" s="29" t="str">
        <x:v>Kyiv-based Analyst</x:v>
      </x:c>
      <x:c r="E88" s="29" t="str">
        <x:v>Potential partner / referral</x:v>
      </x:c>
      <x:c r="F88" s="29" t="str">
        <x:v>High</x:v>
      </x:c>
      <x:c r="G88" s="29" t="str">
        <x:v>Confirmed</x:v>
      </x:c>
      <x:c r="H88" s="29" t="str">
        <x:v>Partnership and capability exchange</x:v>
      </x:c>
      <x:c r="I88" s="29" t="str">
        <x:v>Analyst speaker; business-risk briefing contributor</x:v>
      </x:c>
      <x:c r="J88" s="29" t="str">
        <x:v>Potential joint delivery, referral or market intelligence</x:v>
      </x:c>
      <x:c r="K88" s="29" t="str">
        <x:v>Propose complementary legal/investigations support on Ukraine mandates.</x:v>
      </x:c>
      <x:c r="L88" s="29" t="str">
        <x:v>Unassigned</x:v>
      </x:c>
      <x:c r="M88" s="29" t="str">
        <x:v>Not started</x:v>
      </x:c>
      <x:c r="N88" s="32"/>
      <x:c r="O88" s="32"/>
      <x:c r="P88" s="29" t="str"/>
    </x:row>
    <x:row r="89">
      <x:c r="A89" s="30" t="n">
        <x:v>169</x:v>
      </x:c>
      <x:c r="B89" s="29" t="str">
        <x:v>Gerald Sigrist</x:v>
      </x:c>
      <x:c r="C89" s="29" t="str">
        <x:v>Save the Children International Ukraine</x:v>
      </x:c>
      <x:c r="D89" s="29" t="str">
        <x:v>Safety &amp; Security Director</x:v>
      </x:c>
      <x:c r="E89" s="29" t="str">
        <x:v>Potential client</x:v>
      </x:c>
      <x:c r="F89" s="29" t="str">
        <x:v>High</x:v>
      </x:c>
      <x:c r="G89" s="29" t="str">
        <x:v>Self-identified</x:v>
      </x:c>
      <x:c r="H89" s="29" t="str">
        <x:v>Institutional / client dialogue</x:v>
      </x:c>
      <x:c r="I89" s="29" t="str">
        <x:v>Speaker / interviewee / case-study contributor</x:v>
      </x:c>
      <x:c r="J89" s="29" t="str">
        <x:v>Country-level NGO security director with clear operational legal needs.</x:v>
      </x:c>
      <x:c r="K89" s="29" t="str">
        <x:v>Priority warm outreach focused on duty of care, investigations and compliance.</x:v>
      </x:c>
      <x:c r="L89" s="29" t="str">
        <x:v>Unassigned</x:v>
      </x:c>
      <x:c r="M89" s="29" t="str">
        <x:v>Not started</x:v>
      </x:c>
      <x:c r="N89" s="32"/>
      <x:c r="O89" s="32"/>
      <x:c r="P89" s="29" t="str"/>
    </x:row>
    <x:row r="90">
      <x:c r="A90" s="30" t="n">
        <x:v>173</x:v>
      </x:c>
      <x:c r="B90" s="29" t="str">
        <x:v>Hanna Zavolodko</x:v>
      </x:c>
      <x:c r="C90" s="29" t="str">
        <x:v>National Technical University Kharkiv Polytechnic Institute / ISRM Ukraine</x:v>
      </x:c>
      <x:c r="D90" s="29" t="str">
        <x:v>Associate Professor; Academic Liaison</x:v>
      </x:c>
      <x:c r="E90" s="29" t="str">
        <x:v>Connector / community multiplier</x:v>
      </x:c>
      <x:c r="F90" s="29" t="str">
        <x:v>Medium</x:v>
      </x:c>
      <x:c r="G90" s="29" t="str">
        <x:v>Confirmed</x:v>
      </x:c>
      <x:c r="H90" s="29" t="str">
        <x:v>Community development and introductions</x:v>
      </x:c>
      <x:c r="I90" s="29" t="str">
        <x:v>Academic liaison; webinar host; research contributor</x:v>
      </x:c>
      <x:c r="J90" s="29" t="str">
        <x:v>Relationship and referral value; no direct sales assumption</x:v>
      </x:c>
      <x:c r="K90" s="29" t="str">
        <x:v>Use for expert events and introductions to universities and industry.</x:v>
      </x:c>
      <x:c r="L90" s="29" t="str">
        <x:v>Unassigned</x:v>
      </x:c>
      <x:c r="M90" s="29" t="str">
        <x:v>Not started</x:v>
      </x:c>
      <x:c r="N90" s="32"/>
      <x:c r="O90" s="32"/>
      <x:c r="P90" s="29" t="str"/>
    </x:row>
    <x:row r="91">
      <x:c r="A91" s="30" t="n">
        <x:v>174</x:v>
      </x:c>
      <x:c r="B91" s="29" t="str">
        <x:v>Ian Spence</x:v>
      </x:c>
      <x:c r="C91" s="29" t="str">
        <x:v>INSO Ukraine / ISRM Ukraine</x:v>
      </x:c>
      <x:c r="D91" s="29" t="str">
        <x:v>Country Director; Ukraine Chapter Chair</x:v>
      </x:c>
      <x:c r="E91" s="29" t="str">
        <x:v>Potential partner / referral</x:v>
      </x:c>
      <x:c r="F91" s="29" t="str">
        <x:v>High</x:v>
      </x:c>
      <x:c r="G91" s="29" t="str">
        <x:v>Confirmed</x:v>
      </x:c>
      <x:c r="H91" s="29" t="str">
        <x:v>Partnership and capability exchange</x:v>
      </x:c>
      <x:c r="I91" s="29" t="str">
        <x:v>Chapter chair; keynote speaker; institutional connector</x:v>
      </x:c>
      <x:c r="J91" s="29" t="str">
        <x:v>Potential joint delivery, referral or market intelligence</x:v>
      </x:c>
      <x:c r="K91" s="29" t="str">
        <x:v>Priority senior relationship: validate targets and request warm introductions.</x:v>
      </x:c>
      <x:c r="L91" s="29" t="str">
        <x:v>Unassigned</x:v>
      </x:c>
      <x:c r="M91" s="29" t="str">
        <x:v>Not started</x:v>
      </x:c>
      <x:c r="N91" s="32"/>
      <x:c r="O91" s="32"/>
      <x:c r="P91" s="29" t="str"/>
    </x:row>
    <x:row r="92">
      <x:c r="A92" s="30" t="n">
        <x:v>177</x:v>
      </x:c>
      <x:c r="B92" s="29" t="str">
        <x:v>Iurii Pastushenko</x:v>
      </x:c>
      <x:c r="C92" s="29" t="str">
        <x:v>ASB Ukraine</x:v>
      </x:c>
      <x:c r="D92" s="29" t="str">
        <x:v>Country Security Manager</x:v>
      </x:c>
      <x:c r="E92" s="29" t="str">
        <x:v>Potential client</x:v>
      </x:c>
      <x:c r="F92" s="29" t="str">
        <x:v>High</x:v>
      </x:c>
      <x:c r="G92" s="29" t="str">
        <x:v>Confirmed</x:v>
      </x:c>
      <x:c r="H92" s="29" t="str">
        <x:v>Institutional / client dialogue</x:v>
      </x:c>
      <x:c r="I92" s="29" t="str">
        <x:v>Practitioner interviewee; regional case contributor</x:v>
      </x:c>
      <x:c r="J92" s="29" t="str">
        <x:v>NGO country security manager with strong operational legal and compliance fit.</x:v>
      </x:c>
      <x:c r="K92" s="29" t="str">
        <x:v>Warm outreach on NGO employment, compliance, investigations and incident response.</x:v>
      </x:c>
      <x:c r="L92" s="29" t="str">
        <x:v>Unassigned</x:v>
      </x:c>
      <x:c r="M92" s="29" t="str">
        <x:v>Not started</x:v>
      </x:c>
      <x:c r="N92" s="32"/>
      <x:c r="O92" s="32"/>
      <x:c r="P92" s="29" t="str"/>
    </x:row>
    <x:row r="93">
      <x:c r="A93" s="30" t="n">
        <x:v>178</x:v>
      </x:c>
      <x:c r="B93" s="29" t="str">
        <x:v>Ivan Golturenko</x:v>
      </x:c>
      <x:c r="C93" s="29" t="str">
        <x:v>—</x:v>
      </x:c>
      <x:c r="D93" s="29" t="str">
        <x:v>—</x:v>
      </x:c>
      <x:c r="E93" s="29" t="str">
        <x:v>Member / verify</x:v>
      </x:c>
      <x:c r="F93" s="29" t="str">
        <x:v>Medium</x:v>
      </x:c>
      <x:c r="G93" s="29" t="str">
        <x:v>Self-identified</x:v>
      </x:c>
      <x:c r="H93" s="29" t="str">
        <x:v>Profile verification and relationship development</x:v>
      </x:c>
      <x:c r="I93" s="29" t="str">
        <x:v>Assess expertise and willingness to contribute</x:v>
      </x:c>
      <x:c r="J93" s="29" t="str">
        <x:v>Relationship and referral value; no direct sales assumption</x:v>
      </x:c>
      <x:c r="K93" s="29" t="str">
        <x:v>Confirm organization and Ukraine remit.</x:v>
      </x:c>
      <x:c r="L93" s="29" t="str">
        <x:v>Unassigned</x:v>
      </x:c>
      <x:c r="M93" s="29" t="str">
        <x:v>Not started</x:v>
      </x:c>
      <x:c r="N93" s="32"/>
      <x:c r="O93" s="32"/>
      <x:c r="P93" s="29" t="str"/>
    </x:row>
  </x:sheetData>
  <x:mergeCells>
    <x:mergeCell ref="A1:P1"/>
    <x:mergeCell ref="A2:P2"/>
  </x:mergeCells>
  <x:dataValidations count="2">
    <x:dataValidation type="list" sqref="L5:L93">
      <x:formula1>"Unassigned,ISRM,F&amp;P,Joint"</x:formula1>
    </x:dataValidation>
    <x:dataValidation type="list" sqref="M5:M93">
      <x:formula1>"Not started,Validation requested,Contacted,Conversation active,Follow-up scheduled,Closed / no action,Opted out"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857b54ae2642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24" hidden="0" customWidth="1"/>
    <x:col min="5" max="5" width="32" hidden="0" customWidth="1"/>
    <x:col min="6" max="6" width="39" hidden="0" customWidth="1"/>
    <x:col min="7" max="7" width="48" hidden="0" customWidth="1"/>
    <x:col min="8" max="8" width="58" hidden="0" customWidth="1"/>
    <x:col min="9" max="9" width="18" hidden="0" customWidth="1"/>
    <x:col min="10" max="10" width="25" hidden="0" customWidth="1"/>
    <x:col min="11" max="11" width="15" hidden="0" customWidth="1"/>
    <x:col min="12" max="12" width="55" hidden="0" customWidth="1"/>
  </x:cols>
  <x:sheetData>
    <x:row r="1" ht="31" customHeight="1">
      <x:c r="A1" s="4" t="str">
        <x:v>ISRM Ukraine — Identity and Profile Research Queue</x:v>
      </x:c>
      <x:c r="B1" s="4" t="str">
        <x:v>ISRM Ukraine — Identity and Profile Research Queue</x:v>
      </x:c>
      <x:c r="C1" s="4" t="str">
        <x:v>ISRM Ukraine — Identity and Profile Research Queue</x:v>
      </x:c>
      <x:c r="D1" s="4" t="str">
        <x:v>ISRM Ukraine — Identity and Profile Research Queue</x:v>
      </x:c>
      <x:c r="E1" s="4" t="str">
        <x:v>ISRM Ukraine — Identity and Profile Research Queue</x:v>
      </x:c>
      <x:c r="F1" s="4" t="str">
        <x:v>ISRM Ukraine — Identity and Profile Research Queue</x:v>
      </x:c>
      <x:c r="G1" s="4" t="str">
        <x:v>ISRM Ukraine — Identity and Profile Research Queue</x:v>
      </x:c>
      <x:c r="H1" s="4" t="str">
        <x:v>ISRM Ukraine — Identity and Profile Research Queue</x:v>
      </x:c>
      <x:c r="I1" s="4" t="str">
        <x:v>ISRM Ukraine — Identity and Profile Research Queue</x:v>
      </x:c>
      <x:c r="J1" s="4" t="str">
        <x:v>ISRM Ukraine — Identity and Profile Research Queue</x:v>
      </x:c>
      <x:c r="K1" s="4" t="str">
        <x:v>ISRM Ukraine — Identity and Profile Research Queue</x:v>
      </x:c>
      <x:c r="L1" s="4" t="str">
        <x:v>ISRM Ukraine — Identity and Profile Research Queue</x:v>
      </x:c>
    </x:row>
    <x:row r="2" ht="28" customHeight="1">
      <x:c r="A2" s="16" t="str">
        <x:v>Includes every record that is not independently verified. Use public professional sources or consensual confirmation; do not use automated bulk messaging or restricted-data workarounds.</x:v>
      </x:c>
      <x:c r="B2" s="17" t="str">
        <x:v>Includes every record that is not independently verified. Use public professional sources or consensual confirmation; do not use automated bulk messaging or restricted-data workarounds.</x:v>
      </x:c>
      <x:c r="C2" s="17" t="str">
        <x:v>Includes every record that is not independently verified. Use public professional sources or consensual confirmation; do not use automated bulk messaging or restricted-data workarounds.</x:v>
      </x:c>
      <x:c r="D2" s="17" t="str">
        <x:v>Includes every record that is not independently verified. Use public professional sources or consensual confirmation; do not use automated bulk messaging or restricted-data workarounds.</x:v>
      </x:c>
      <x:c r="E2" s="17" t="str">
        <x:v>Includes every record that is not independently verified. Use public professional sources or consensual confirmation; do not use automated bulk messaging or restricted-data workarounds.</x:v>
      </x:c>
      <x:c r="F2" s="17" t="str">
        <x:v>Includes every record that is not independently verified. Use public professional sources or consensual confirmation; do not use automated bulk messaging or restricted-data workarounds.</x:v>
      </x:c>
      <x:c r="G2" s="17" t="str">
        <x:v>Includes every record that is not independently verified. Use public professional sources or consensual confirmation; do not use automated bulk messaging or restricted-data workarounds.</x:v>
      </x:c>
      <x:c r="H2" s="17" t="str">
        <x:v>Includes every record that is not independently verified. Use public professional sources or consensual confirmation; do not use automated bulk messaging or restricted-data workarounds.</x:v>
      </x:c>
      <x:c r="I2" s="17" t="str">
        <x:v>Includes every record that is not independently verified. Use public professional sources or consensual confirmation; do not use automated bulk messaging or restricted-data workarounds.</x:v>
      </x:c>
      <x:c r="J2" s="17" t="str">
        <x:v>Includes every record that is not independently verified. Use public professional sources or consensual confirmation; do not use automated bulk messaging or restricted-data workarounds.</x:v>
      </x:c>
      <x:c r="K2" s="17" t="str">
        <x:v>Includes every record that is not independently verified. Use public professional sources or consensual confirmation; do not use automated bulk messaging or restricted-data workarounds.</x:v>
      </x:c>
      <x:c r="L2" s="18" t="str">
        <x:v>Includes every record that is not independently verified. Use public professional sources or consensual confirmation; do not use automated bulk messaging or restricted-data workarounds.</x:v>
      </x:c>
    </x:row>
    <x:row r="4" ht="38" customHeight="1">
      <x:c r="A4" s="24" t="str">
        <x:v>Record ID</x:v>
      </x:c>
      <x:c r="B4" s="24" t="str">
        <x:v>Original name</x:v>
      </x:c>
      <x:c r="C4" s="24" t="str">
        <x:v>Phone</x:v>
      </x:c>
      <x:c r="D4" s="24" t="str">
        <x:v>Identity status</x:v>
      </x:c>
      <x:c r="E4" s="24" t="str">
        <x:v>Current hypothesis</x:v>
      </x:c>
      <x:c r="F4" s="24" t="str">
        <x:v>Organisation / role clue</x:v>
      </x:c>
      <x:c r="G4" s="24" t="str">
        <x:v>Missing information</x:v>
      </x:c>
      <x:c r="H4" s="24" t="str">
        <x:v>Recommended method</x:v>
      </x:c>
      <x:c r="I4" s="24" t="str">
        <x:v>Research priority</x:v>
      </x:c>
      <x:c r="J4" s="24" t="str">
        <x:v>Research status</x:v>
      </x:c>
      <x:c r="K4" s="24" t="str">
        <x:v>Owner</x:v>
      </x:c>
      <x:c r="L4" s="24" t="str">
        <x:v>Result / source</x:v>
      </x:c>
    </x:row>
    <x:row r="5">
      <x:c r="A5" s="30" t="n">
        <x:v>1</x:v>
      </x:c>
      <x:c r="B5" s="29" t="str">
        <x:v>J</x:v>
      </x:c>
      <x:c r="C5" s="29" t="str">
        <x:v>‎+995595053175</x:v>
      </x:c>
      <x:c r="D5" s="29" t="str">
        <x:v>Partial</x:v>
      </x:c>
      <x:c r="E5" s="29" t="str">
        <x:v>J (identity unresolved)</x:v>
      </x:c>
      <x:c r="F5" s="29" t="str">
        <x:v>— / —</x:v>
      </x:c>
      <x:c r="G5" s="29" t="str">
        <x:v>Surname / exact identity and public professional profile</x:v>
      </x:c>
      <x:c r="H5" s="29" t="str">
        <x:v>Targeted public-source search, then consensual confirmation if needed</x:v>
      </x:c>
      <x:c r="I5" s="29" t="str">
        <x:v>Standard</x:v>
      </x:c>
      <x:c r="J5" s="29" t="str">
        <x:v>Not started</x:v>
      </x:c>
      <x:c r="K5" s="29" t="str">
        <x:v>Unassigned</x:v>
      </x:c>
      <x:c r="L5" s="29" t="str"/>
    </x:row>
    <x:row r="6">
      <x:c r="A6" s="30" t="n">
        <x:v>2</x:v>
      </x:c>
      <x:c r="B6" s="29" t="str">
        <x:v>Jack</x:v>
      </x:c>
      <x:c r="C6" s="29" t="str">
        <x:v>‎+447714018861</x:v>
      </x:c>
      <x:c r="D6" s="29" t="str">
        <x:v>Probable</x:v>
      </x:c>
      <x:c r="E6" s="29" t="str">
        <x:v>Jack Ward Bleach</x:v>
      </x:c>
      <x:c r="F6" s="29" t="str">
        <x:v>JB Risk Advisory Ltd / Founder / risk adviser</x:v>
      </x:c>
      <x:c r="G6" s="29" t="str">
        <x:v>Reliable link between the public profile and this group record</x:v>
      </x:c>
      <x:c r="H6" s="29" t="str">
        <x:v>Targeted public-source search, then consensual confirmation if needed</x:v>
      </x:c>
      <x:c r="I6" s="29" t="str">
        <x:v>High</x:v>
      </x:c>
      <x:c r="J6" s="29" t="str">
        <x:v>Not started</x:v>
      </x:c>
      <x:c r="K6" s="29" t="str">
        <x:v>Unassigned</x:v>
      </x:c>
      <x:c r="L6" s="29" t="str"/>
    </x:row>
    <x:row r="7">
      <x:c r="A7" s="30" t="n">
        <x:v>3</x:v>
      </x:c>
      <x:c r="B7" s="29" t="str">
        <x:v>Jack Lakawitch</x:v>
      </x:c>
      <x:c r="C7" s="29" t="str">
        <x:v>‎+380771046838</x:v>
      </x:c>
      <x:c r="D7" s="29" t="str">
        <x:v>Self-identified</x:v>
      </x:c>
      <x:c r="E7" s="29" t="str">
        <x:v>Jack Lakawitch</x:v>
      </x:c>
      <x:c r="F7" s="29" t="str">
        <x:v>— / —</x:v>
      </x:c>
      <x:c r="G7" s="29" t="str">
        <x:v>Current organisation, role and public-source confirmation</x:v>
      </x:c>
      <x:c r="H7" s="29" t="str">
        <x:v>Targeted public-source search, then consensual confirmation if needed</x:v>
      </x:c>
      <x:c r="I7" s="29" t="str">
        <x:v>Standard</x:v>
      </x:c>
      <x:c r="J7" s="29" t="str">
        <x:v>Not started</x:v>
      </x:c>
      <x:c r="K7" s="29" t="str">
        <x:v>Unassigned</x:v>
      </x:c>
      <x:c r="L7" s="29" t="str"/>
    </x:row>
    <x:row r="8">
      <x:c r="A8" s="30" t="n">
        <x:v>5</x:v>
      </x:c>
      <x:c r="B8" s="29" t="str">
        <x:v>Jeff D</x:v>
      </x:c>
      <x:c r="C8" s="29" t="str">
        <x:v>‎+33787313974</x:v>
      </x:c>
      <x:c r="D8" s="29" t="str">
        <x:v>Self-identified</x:v>
      </x:c>
      <x:c r="E8" s="29" t="str">
        <x:v>Jeff D (identity unresolved)</x:v>
      </x:c>
      <x:c r="F8" s="29" t="str">
        <x:v>— / —</x:v>
      </x:c>
      <x:c r="G8" s="29" t="str">
        <x:v>Current organisation, role and public-source confirmation</x:v>
      </x:c>
      <x:c r="H8" s="29" t="str">
        <x:v>Targeted public-source search, then consensual confirmation if needed</x:v>
      </x:c>
      <x:c r="I8" s="29" t="str">
        <x:v>Standard</x:v>
      </x:c>
      <x:c r="J8" s="29" t="str">
        <x:v>Not started</x:v>
      </x:c>
      <x:c r="K8" s="29" t="str">
        <x:v>Unassigned</x:v>
      </x:c>
      <x:c r="L8" s="29" t="str"/>
    </x:row>
    <x:row r="9">
      <x:c r="A9" s="30" t="n">
        <x:v>7</x:v>
      </x:c>
      <x:c r="B9" s="29" t="str">
        <x:v>Jon</x:v>
      </x:c>
      <x:c r="C9" s="29" t="str">
        <x:v>‎+18089870387</x:v>
      </x:c>
      <x:c r="D9" s="29" t="str">
        <x:v>Partial</x:v>
      </x:c>
      <x:c r="E9" s="29" t="str">
        <x:v>Jon (surname unknown)</x:v>
      </x:c>
      <x:c r="F9" s="29" t="str">
        <x:v>Vargar / Managing Director</x:v>
      </x:c>
      <x:c r="G9" s="29" t="str">
        <x:v>Surname / exact identity and public professional profile</x:v>
      </x:c>
      <x:c r="H9" s="29" t="str">
        <x:v>Targeted public-source search, then consensual confirmation if needed</x:v>
      </x:c>
      <x:c r="I9" s="29" t="str">
        <x:v>High</x:v>
      </x:c>
      <x:c r="J9" s="29" t="str">
        <x:v>Not started</x:v>
      </x:c>
      <x:c r="K9" s="29" t="str">
        <x:v>Unassigned</x:v>
      </x:c>
      <x:c r="L9" s="29" t="str"/>
    </x:row>
    <x:row r="10">
      <x:c r="A10" s="30" t="n">
        <x:v>10</x:v>
      </x:c>
      <x:c r="B10" s="29" t="str">
        <x:v>Karina 🇺🇸🇺🇦</x:v>
      </x:c>
      <x:c r="C10" s="29" t="str">
        <x:v>‎+14436326600</x:v>
      </x:c>
      <x:c r="D10" s="29" t="str">
        <x:v>Self-identified</x:v>
      </x:c>
      <x:c r="E10" s="29" t="str">
        <x:v>Karina (surname unknown)</x:v>
      </x:c>
      <x:c r="F10" s="29" t="str">
        <x:v>— / —</x:v>
      </x:c>
      <x:c r="G10" s="29" t="str">
        <x:v>Current organisation, role and public-source confirmation</x:v>
      </x:c>
      <x:c r="H10" s="29" t="str">
        <x:v>Targeted public-source search, then consensual confirmation if needed</x:v>
      </x:c>
      <x:c r="I10" s="29" t="str">
        <x:v>Standard</x:v>
      </x:c>
      <x:c r="J10" s="29" t="str">
        <x:v>Not started</x:v>
      </x:c>
      <x:c r="K10" s="29" t="str">
        <x:v>Unassigned</x:v>
      </x:c>
      <x:c r="L10" s="29" t="str"/>
    </x:row>
    <x:row r="11">
      <x:c r="A11" s="30" t="n">
        <x:v>11</x:v>
      </x:c>
      <x:c r="B11" s="29" t="str">
        <x:v>Kateryna Panshyna</x:v>
      </x:c>
      <x:c r="C11" s="29" t="str">
        <x:v>‎+380664701077</x:v>
      </x:c>
      <x:c r="D11" s="29" t="str">
        <x:v>Self-identified</x:v>
      </x:c>
      <x:c r="E11" s="29" t="str">
        <x:v>Kateryna Panshyna</x:v>
      </x:c>
      <x:c r="F11" s="29" t="str">
        <x:v>— / —</x:v>
      </x:c>
      <x:c r="G11" s="29" t="str">
        <x:v>Current organisation, role and public-source confirmation</x:v>
      </x:c>
      <x:c r="H11" s="29" t="str">
        <x:v>Targeted public-source search, then consensual confirmation if needed</x:v>
      </x:c>
      <x:c r="I11" s="29" t="str">
        <x:v>Standard</x:v>
      </x:c>
      <x:c r="J11" s="29" t="str">
        <x:v>Not started</x:v>
      </x:c>
      <x:c r="K11" s="29" t="str">
        <x:v>Unassigned</x:v>
      </x:c>
      <x:c r="L11" s="29" t="str"/>
    </x:row>
    <x:row r="12">
      <x:c r="A12" s="30" t="n">
        <x:v>12</x:v>
      </x:c>
      <x:c r="B12" s="29" t="str">
        <x:v>Kateryna Repetska</x:v>
      </x:c>
      <x:c r="C12" s="29" t="str">
        <x:v>‎+380950966871</x:v>
      </x:c>
      <x:c r="D12" s="29" t="str">
        <x:v>Self-identified</x:v>
      </x:c>
      <x:c r="E12" s="29" t="str">
        <x:v>Kateryna Repetska</x:v>
      </x:c>
      <x:c r="F12" s="29" t="str">
        <x:v>INSO Ukraine / Training Officer</x:v>
      </x:c>
      <x:c r="G12" s="29" t="str">
        <x:v>Current organisation, role and public-source confirmation</x:v>
      </x:c>
      <x:c r="H12" s="29" t="str">
        <x:v>Targeted public-source search, then consensual confirmation if needed</x:v>
      </x:c>
      <x:c r="I12" s="29" t="str">
        <x:v>Medium</x:v>
      </x:c>
      <x:c r="J12" s="29" t="str">
        <x:v>Not started</x:v>
      </x:c>
      <x:c r="K12" s="29" t="str">
        <x:v>Unassigned</x:v>
      </x:c>
      <x:c r="L12" s="29" t="str"/>
    </x:row>
    <x:row r="13">
      <x:c r="A13" s="30" t="n">
        <x:v>13</x:v>
      </x:c>
      <x:c r="B13" s="29" t="str">
        <x:v>Kerry</x:v>
      </x:c>
      <x:c r="C13" s="29" t="str">
        <x:v>‎+380689001013</x:v>
      </x:c>
      <x:c r="D13" s="29" t="str">
        <x:v>Partial</x:v>
      </x:c>
      <x:c r="E13" s="29" t="str">
        <x:v>Kerry (surname unknown)</x:v>
      </x:c>
      <x:c r="F13" s="29" t="str">
        <x:v>— / —</x:v>
      </x:c>
      <x:c r="G13" s="29" t="str">
        <x:v>Surname / exact identity and public professional profile</x:v>
      </x:c>
      <x:c r="H13" s="29" t="str">
        <x:v>Targeted public-source search, then consensual confirmation if needed</x:v>
      </x:c>
      <x:c r="I13" s="29" t="str">
        <x:v>Standard</x:v>
      </x:c>
      <x:c r="J13" s="29" t="str">
        <x:v>Not started</x:v>
      </x:c>
      <x:c r="K13" s="29" t="str">
        <x:v>Unassigned</x:v>
      </x:c>
      <x:c r="L13" s="29" t="str"/>
    </x:row>
    <x:row r="14">
      <x:c r="A14" s="30" t="n">
        <x:v>14</x:v>
      </x:c>
      <x:c r="B14" s="29" t="str">
        <x:v>Kristina</x:v>
      </x:c>
      <x:c r="C14" s="29" t="str">
        <x:v>‎+380936697799</x:v>
      </x:c>
      <x:c r="D14" s="29" t="str">
        <x:v>Partial</x:v>
      </x:c>
      <x:c r="E14" s="29" t="str">
        <x:v>Kristina (surname unknown)</x:v>
      </x:c>
      <x:c r="F14" s="29" t="str">
        <x:v>— / —</x:v>
      </x:c>
      <x:c r="G14" s="29" t="str">
        <x:v>Surname / exact identity and public professional profile</x:v>
      </x:c>
      <x:c r="H14" s="29" t="str">
        <x:v>Targeted public-source search, then consensual confirmation if needed</x:v>
      </x:c>
      <x:c r="I14" s="29" t="str">
        <x:v>Standard</x:v>
      </x:c>
      <x:c r="J14" s="29" t="str">
        <x:v>Not started</x:v>
      </x:c>
      <x:c r="K14" s="29" t="str">
        <x:v>Unassigned</x:v>
      </x:c>
      <x:c r="L14" s="29" t="str"/>
    </x:row>
    <x:row r="15">
      <x:c r="A15" s="30" t="n">
        <x:v>15</x:v>
      </x:c>
      <x:c r="B15" s="29" t="str">
        <x:v>Kseniia</x:v>
      </x:c>
      <x:c r="C15" s="29" t="str">
        <x:v>‎+380508506403</x:v>
      </x:c>
      <x:c r="D15" s="29" t="str">
        <x:v>Partial</x:v>
      </x:c>
      <x:c r="E15" s="29" t="str">
        <x:v>Kseniia (surname unknown)</x:v>
      </x:c>
      <x:c r="F15" s="29" t="str">
        <x:v>AMAU / Risoil / CEO, AMAU; adviser at Risoil</x:v>
      </x:c>
      <x:c r="G15" s="29" t="str">
        <x:v>Surname / exact identity and public professional profile</x:v>
      </x:c>
      <x:c r="H15" s="29" t="str">
        <x:v>Targeted public-source search, then consensual confirmation if needed</x:v>
      </x:c>
      <x:c r="I15" s="29" t="str">
        <x:v>High</x:v>
      </x:c>
      <x:c r="J15" s="29" t="str">
        <x:v>Not started</x:v>
      </x:c>
      <x:c r="K15" s="29" t="str">
        <x:v>Unassigned</x:v>
      </x:c>
      <x:c r="L15" s="29" t="str"/>
    </x:row>
    <x:row r="16">
      <x:c r="A16" s="30" t="n">
        <x:v>18</x:v>
      </x:c>
      <x:c r="B16" s="29" t="str">
        <x:v>Leonid</x:v>
      </x:c>
      <x:c r="C16" s="29" t="str">
        <x:v>‎+380633912463</x:v>
      </x:c>
      <x:c r="D16" s="29" t="str">
        <x:v>Partial</x:v>
      </x:c>
      <x:c r="E16" s="29" t="str">
        <x:v>Leonid (surname unknown)</x:v>
      </x:c>
      <x:c r="F16" s="29" t="str">
        <x:v>— / —</x:v>
      </x:c>
      <x:c r="G16" s="29" t="str">
        <x:v>Surname / exact identity and public professional profile</x:v>
      </x:c>
      <x:c r="H16" s="29" t="str">
        <x:v>Targeted public-source search, then consensual confirmation if needed</x:v>
      </x:c>
      <x:c r="I16" s="29" t="str">
        <x:v>Standard</x:v>
      </x:c>
      <x:c r="J16" s="29" t="str">
        <x:v>Not started</x:v>
      </x:c>
      <x:c r="K16" s="29" t="str">
        <x:v>Unassigned</x:v>
      </x:c>
      <x:c r="L16" s="29" t="str"/>
    </x:row>
    <x:row r="17">
      <x:c r="A17" s="30" t="n">
        <x:v>19</x:v>
      </x:c>
      <x:c r="B17" s="29" t="str">
        <x:v>Lloyd</x:v>
      </x:c>
      <x:c r="C17" s="29" t="str">
        <x:v>‎+447866105392</x:v>
      </x:c>
      <x:c r="D17" s="29" t="str">
        <x:v>Self-identified</x:v>
      </x:c>
      <x:c r="E17" s="29" t="str">
        <x:v>Lloyd Green</x:v>
      </x:c>
      <x:c r="F17" s="29" t="str">
        <x:v>Media HRA (as stated) / Media/HRA professional; exact remit unclear</x:v>
      </x:c>
      <x:c r="G17" s="29" t="str">
        <x:v>Current organisation, role and public-source confirmation</x:v>
      </x:c>
      <x:c r="H17" s="29" t="str">
        <x:v>Targeted public-source search, then consensual confirmation if needed</x:v>
      </x:c>
      <x:c r="I17" s="29" t="str">
        <x:v>Standard</x:v>
      </x:c>
      <x:c r="J17" s="29" t="str">
        <x:v>Not started</x:v>
      </x:c>
      <x:c r="K17" s="29" t="str">
        <x:v>Unassigned</x:v>
      </x:c>
      <x:c r="L17" s="29" t="str"/>
    </x:row>
    <x:row r="18">
      <x:c r="A18" s="30" t="n">
        <x:v>21</x:v>
      </x:c>
      <x:c r="B18" s="29" t="str">
        <x:v>Lorenzo</x:v>
      </x:c>
      <x:c r="C18" s="29" t="str">
        <x:v>‎+393494519264</x:v>
      </x:c>
      <x:c r="D18" s="29" t="str">
        <x:v>Partial</x:v>
      </x:c>
      <x:c r="E18" s="29" t="str">
        <x:v>Lorenzo (surname unknown)</x:v>
      </x:c>
      <x:c r="F18" s="29" t="str">
        <x:v>— / —</x:v>
      </x:c>
      <x:c r="G18" s="29" t="str">
        <x:v>Surname / exact identity and public professional profile</x:v>
      </x:c>
      <x:c r="H18" s="29" t="str">
        <x:v>Targeted public-source search, then consensual confirmation if needed</x:v>
      </x:c>
      <x:c r="I18" s="29" t="str">
        <x:v>Standard</x:v>
      </x:c>
      <x:c r="J18" s="29" t="str">
        <x:v>Not started</x:v>
      </x:c>
      <x:c r="K18" s="29" t="str">
        <x:v>Unassigned</x:v>
      </x:c>
      <x:c r="L18" s="29" t="str"/>
    </x:row>
    <x:row r="19">
      <x:c r="A19" s="30" t="n">
        <x:v>22</x:v>
      </x:c>
      <x:c r="B19" s="29" t="str">
        <x:v>Luke</x:v>
      </x:c>
      <x:c r="C19" s="29" t="str">
        <x:v>‎+380994385302</x:v>
      </x:c>
      <x:c r="D19" s="29" t="str">
        <x:v>Partial</x:v>
      </x:c>
      <x:c r="E19" s="29" t="str">
        <x:v>Luke (surname unknown)</x:v>
      </x:c>
      <x:c r="F19" s="29" t="str">
        <x:v>Prevail Partners / Security risk adviser and paramedic</x:v>
      </x:c>
      <x:c r="G19" s="29" t="str">
        <x:v>Surname / exact identity and public professional profile</x:v>
      </x:c>
      <x:c r="H19" s="29" t="str">
        <x:v>Targeted public-source search, then consensual confirmation if needed</x:v>
      </x:c>
      <x:c r="I19" s="29" t="str">
        <x:v>High</x:v>
      </x:c>
      <x:c r="J19" s="29" t="str">
        <x:v>Not started</x:v>
      </x:c>
      <x:c r="K19" s="29" t="str">
        <x:v>Unassigned</x:v>
      </x:c>
      <x:c r="L19" s="29" t="str"/>
    </x:row>
    <x:row r="20">
      <x:c r="A20" s="30" t="n">
        <x:v>23</x:v>
      </x:c>
      <x:c r="B20" s="29" t="str">
        <x:v>M</x:v>
      </x:c>
      <x:c r="C20" s="29" t="str">
        <x:v>‎+447711699645</x:v>
      </x:c>
      <x:c r="D20" s="29" t="str">
        <x:v>Partial</x:v>
      </x:c>
      <x:c r="E20" s="29" t="str">
        <x:v>M (identity unresolved)</x:v>
      </x:c>
      <x:c r="F20" s="29" t="str">
        <x:v>— / —</x:v>
      </x:c>
      <x:c r="G20" s="29" t="str">
        <x:v>Surname / exact identity and public professional profile</x:v>
      </x:c>
      <x:c r="H20" s="29" t="str">
        <x:v>Targeted public-source search, then consensual confirmation if needed</x:v>
      </x:c>
      <x:c r="I20" s="29" t="str">
        <x:v>Standard</x:v>
      </x:c>
      <x:c r="J20" s="29" t="str">
        <x:v>Not started</x:v>
      </x:c>
      <x:c r="K20" s="29" t="str">
        <x:v>Unassigned</x:v>
      </x:c>
      <x:c r="L20" s="29" t="str"/>
    </x:row>
    <x:row r="21">
      <x:c r="A21" s="30" t="n">
        <x:v>24</x:v>
      </x:c>
      <x:c r="B21" s="29" t="str">
        <x:v>M.Mykhailo</x:v>
      </x:c>
      <x:c r="C21" s="29" t="str">
        <x:v>‎+380502862926</x:v>
      </x:c>
      <x:c r="D21" s="29" t="str">
        <x:v>Partial</x:v>
      </x:c>
      <x:c r="E21" s="29" t="str">
        <x:v>Mykhailo (surname unknown)</x:v>
      </x:c>
      <x:c r="F21" s="29" t="str">
        <x:v>— / —</x:v>
      </x:c>
      <x:c r="G21" s="29" t="str">
        <x:v>Surname / exact identity and public professional profile</x:v>
      </x:c>
      <x:c r="H21" s="29" t="str">
        <x:v>Targeted public-source search, then consensual confirmation if needed</x:v>
      </x:c>
      <x:c r="I21" s="29" t="str">
        <x:v>Standard</x:v>
      </x:c>
      <x:c r="J21" s="29" t="str">
        <x:v>Not started</x:v>
      </x:c>
      <x:c r="K21" s="29" t="str">
        <x:v>Unassigned</x:v>
      </x:c>
      <x:c r="L21" s="29" t="str"/>
    </x:row>
    <x:row r="22">
      <x:c r="A22" s="30" t="n">
        <x:v>26</x:v>
      </x:c>
      <x:c r="B22" s="29" t="str">
        <x:v>MF</x:v>
      </x:c>
      <x:c r="C22" s="29" t="str">
        <x:v>‎+380959856701</x:v>
      </x:c>
      <x:c r="D22" s="29" t="str">
        <x:v>Partial</x:v>
      </x:c>
      <x:c r="E22" s="29" t="str">
        <x:v>MF (initials only)</x:v>
      </x:c>
      <x:c r="F22" s="29" t="str">
        <x:v>Prevail Partners / Security Risk Adviser, Kyiv</x:v>
      </x:c>
      <x:c r="G22" s="29" t="str">
        <x:v>Surname / exact identity and public professional profile</x:v>
      </x:c>
      <x:c r="H22" s="29" t="str">
        <x:v>Targeted public-source search, then consensual confirmation if needed</x:v>
      </x:c>
      <x:c r="I22" s="29" t="str">
        <x:v>High</x:v>
      </x:c>
      <x:c r="J22" s="29" t="str">
        <x:v>Not started</x:v>
      </x:c>
      <x:c r="K22" s="29" t="str">
        <x:v>Unassigned</x:v>
      </x:c>
      <x:c r="L22" s="29" t="str"/>
    </x:row>
    <x:row r="23">
      <x:c r="A23" s="30" t="n">
        <x:v>27</x:v>
      </x:c>
      <x:c r="B23" s="29" t="str">
        <x:v>Michael</x:v>
      </x:c>
      <x:c r="C23" s="29" t="str">
        <x:v>‎+380669198765</x:v>
      </x:c>
      <x:c r="D23" s="29" t="str">
        <x:v>Partial</x:v>
      </x:c>
      <x:c r="E23" s="29" t="str">
        <x:v>Michael (surname unknown)</x:v>
      </x:c>
      <x:c r="F23" s="29" t="str">
        <x:v>ISRM Ukraine (group admin) / Administrator; exact role unknown</x:v>
      </x:c>
      <x:c r="G23" s="29" t="str">
        <x:v>Surname / exact identity and public professional profile</x:v>
      </x:c>
      <x:c r="H23" s="29" t="str">
        <x:v>Targeted public-source search, then consensual confirmation if needed</x:v>
      </x:c>
      <x:c r="I23" s="29" t="str">
        <x:v>Medium</x:v>
      </x:c>
      <x:c r="J23" s="29" t="str">
        <x:v>Not started</x:v>
      </x:c>
      <x:c r="K23" s="29" t="str">
        <x:v>Unassigned</x:v>
      </x:c>
      <x:c r="L23" s="29" t="str"/>
    </x:row>
    <x:row r="24">
      <x:c r="A24" s="30" t="n">
        <x:v>28</x:v>
      </x:c>
      <x:c r="B24" s="29" t="str">
        <x:v>Mick Stott</x:v>
      </x:c>
      <x:c r="C24" s="29" t="str">
        <x:v>‎+447834914220</x:v>
      </x:c>
      <x:c r="D24" s="29" t="str">
        <x:v>Probable</x:v>
      </x:c>
      <x:c r="E24" s="29" t="str">
        <x:v>Michael “Mick” Stott</x:v>
      </x:c>
      <x:c r="F24" s="29" t="str">
        <x:v>— / Professor h.c.; exact current affiliation unverified</x:v>
      </x:c>
      <x:c r="G24" s="29" t="str">
        <x:v>Reliable link between the public profile and this group record</x:v>
      </x:c>
      <x:c r="H24" s="29" t="str">
        <x:v>Targeted public-source search, then consensual confirmation if needed</x:v>
      </x:c>
      <x:c r="I24" s="29" t="str">
        <x:v>Standard</x:v>
      </x:c>
      <x:c r="J24" s="29" t="str">
        <x:v>Not started</x:v>
      </x:c>
      <x:c r="K24" s="29" t="str">
        <x:v>Unassigned</x:v>
      </x:c>
      <x:c r="L24" s="29" t="str"/>
    </x:row>
    <x:row r="25">
      <x:c r="A25" s="30" t="n">
        <x:v>29</x:v>
      </x:c>
      <x:c r="B25" s="29" t="str">
        <x:v>Miniailyk Oleksandr</x:v>
      </x:c>
      <x:c r="C25" s="29" t="str">
        <x:v>‎+380935588555</x:v>
      </x:c>
      <x:c r="D25" s="29" t="str">
        <x:v>Self-identified</x:v>
      </x:c>
      <x:c r="E25" s="29" t="str">
        <x:v>Oleksandr Miniailyk</x:v>
      </x:c>
      <x:c r="F25" s="29" t="str">
        <x:v>— / —</x:v>
      </x:c>
      <x:c r="G25" s="29" t="str">
        <x:v>Current organisation, role and public-source confirmation</x:v>
      </x:c>
      <x:c r="H25" s="29" t="str">
        <x:v>Targeted public-source search, then consensual confirmation if needed</x:v>
      </x:c>
      <x:c r="I25" s="29" t="str">
        <x:v>Standard</x:v>
      </x:c>
      <x:c r="J25" s="29" t="str">
        <x:v>Not started</x:v>
      </x:c>
      <x:c r="K25" s="29" t="str">
        <x:v>Unassigned</x:v>
      </x:c>
      <x:c r="L25" s="29" t="str"/>
    </x:row>
    <x:row r="26">
      <x:c r="A26" s="30" t="n">
        <x:v>31</x:v>
      </x:c>
      <x:c r="B26" s="29" t="str">
        <x:v>My Polish Number</x:v>
      </x:c>
      <x:c r="C26" s="29" t="str">
        <x:v>‎+48516247363</x:v>
      </x:c>
      <x:c r="D26" s="29" t="str">
        <x:v>Partial</x:v>
      </x:c>
      <x:c r="E26" s="29" t="str">
        <x:v>Identity unresolved (Polish number)</x:v>
      </x:c>
      <x:c r="F26" s="29" t="str">
        <x:v>— / —</x:v>
      </x:c>
      <x:c r="G26" s="29" t="str">
        <x:v>Surname / exact identity and public professional profile</x:v>
      </x:c>
      <x:c r="H26" s="29" t="str">
        <x:v>Targeted public-source search, then consensual confirmation if needed</x:v>
      </x:c>
      <x:c r="I26" s="29" t="str">
        <x:v>Standard</x:v>
      </x:c>
      <x:c r="J26" s="29" t="str">
        <x:v>Not started</x:v>
      </x:c>
      <x:c r="K26" s="29" t="str">
        <x:v>Unassigned</x:v>
      </x:c>
      <x:c r="L26" s="29" t="str"/>
    </x:row>
    <x:row r="27">
      <x:c r="A27" s="30" t="n">
        <x:v>32</x:v>
      </x:c>
      <x:c r="B27" s="29" t="str">
        <x:v>Natalia</x:v>
      </x:c>
      <x:c r="C27" s="29" t="str">
        <x:v>‎+380939978770</x:v>
      </x:c>
      <x:c r="D27" s="29" t="str">
        <x:v>Partial</x:v>
      </x:c>
      <x:c r="E27" s="29" t="str">
        <x:v>Natalia (surname unknown)</x:v>
      </x:c>
      <x:c r="F27" s="29" t="str">
        <x:v>— / —</x:v>
      </x:c>
      <x:c r="G27" s="29" t="str">
        <x:v>Surname / exact identity and public professional profile</x:v>
      </x:c>
      <x:c r="H27" s="29" t="str">
        <x:v>Targeted public-source search, then consensual confirmation if needed</x:v>
      </x:c>
      <x:c r="I27" s="29" t="str">
        <x:v>Standard</x:v>
      </x:c>
      <x:c r="J27" s="29" t="str">
        <x:v>Not started</x:v>
      </x:c>
      <x:c r="K27" s="29" t="str">
        <x:v>Unassigned</x:v>
      </x:c>
      <x:c r="L27" s="29" t="str"/>
    </x:row>
    <x:row r="28">
      <x:c r="A28" s="30" t="n">
        <x:v>34</x:v>
      </x:c>
      <x:c r="B28" s="29" t="str">
        <x:v>Nataliia</x:v>
      </x:c>
      <x:c r="C28" s="29" t="str">
        <x:v>‎+380672719148</x:v>
      </x:c>
      <x:c r="D28" s="29" t="str">
        <x:v>Partial</x:v>
      </x:c>
      <x:c r="E28" s="29" t="str">
        <x:v>Nataliia (surname unknown)</x:v>
      </x:c>
      <x:c r="F28" s="29" t="str">
        <x:v>— / —</x:v>
      </x:c>
      <x:c r="G28" s="29" t="str">
        <x:v>Surname / exact identity and public professional profile</x:v>
      </x:c>
      <x:c r="H28" s="29" t="str">
        <x:v>Targeted public-source search, then consensual confirmation if needed</x:v>
      </x:c>
      <x:c r="I28" s="29" t="str">
        <x:v>Standard</x:v>
      </x:c>
      <x:c r="J28" s="29" t="str">
        <x:v>Not started</x:v>
      </x:c>
      <x:c r="K28" s="29" t="str">
        <x:v>Unassigned</x:v>
      </x:c>
      <x:c r="L28" s="29" t="str"/>
    </x:row>
    <x:row r="29">
      <x:c r="A29" s="30" t="n">
        <x:v>35</x:v>
      </x:c>
      <x:c r="B29" s="29" t="str">
        <x:v>Nataliia</x:v>
      </x:c>
      <x:c r="C29" s="29" t="str">
        <x:v>‎+380984947127</x:v>
      </x:c>
      <x:c r="D29" s="29" t="str">
        <x:v>Partial</x:v>
      </x:c>
      <x:c r="E29" s="29" t="str">
        <x:v>Nataliia (surname unknown)</x:v>
      </x:c>
      <x:c r="F29" s="29" t="str">
        <x:v>— / —</x:v>
      </x:c>
      <x:c r="G29" s="29" t="str">
        <x:v>Surname / exact identity and public professional profile</x:v>
      </x:c>
      <x:c r="H29" s="29" t="str">
        <x:v>Targeted public-source search, then consensual confirmation if needed</x:v>
      </x:c>
      <x:c r="I29" s="29" t="str">
        <x:v>Standard</x:v>
      </x:c>
      <x:c r="J29" s="29" t="str">
        <x:v>Not started</x:v>
      </x:c>
      <x:c r="K29" s="29" t="str">
        <x:v>Unassigned</x:v>
      </x:c>
      <x:c r="L29" s="29" t="str"/>
    </x:row>
    <x:row r="30">
      <x:c r="A30" s="30" t="n">
        <x:v>37</x:v>
      </x:c>
      <x:c r="B30" s="29" t="str">
        <x:v>NB</x:v>
      </x:c>
      <x:c r="C30" s="29" t="str">
        <x:v>‎+380955579722</x:v>
      </x:c>
      <x:c r="D30" s="29" t="str">
        <x:v>Self-identified</x:v>
      </x:c>
      <x:c r="E30" s="29" t="str">
        <x:v>Nick Bennett</x:v>
      </x:c>
      <x:c r="F30" s="29" t="str">
        <x:v>Iqarus / International SOS / Country Director</x:v>
      </x:c>
      <x:c r="G30" s="29" t="str">
        <x:v>Current organisation, role and public-source confirmation</x:v>
      </x:c>
      <x:c r="H30" s="29" t="str">
        <x:v>Targeted public-source search, then consensual confirmation if needed</x:v>
      </x:c>
      <x:c r="I30" s="29" t="str">
        <x:v>High</x:v>
      </x:c>
      <x:c r="J30" s="29" t="str">
        <x:v>Not started</x:v>
      </x:c>
      <x:c r="K30" s="29" t="str">
        <x:v>Unassigned</x:v>
      </x:c>
      <x:c r="L30" s="29" t="str"/>
    </x:row>
    <x:row r="31">
      <x:c r="A31" s="30" t="n">
        <x:v>38</x:v>
      </x:c>
      <x:c r="B31" s="29" t="str">
        <x:v>Niamh</x:v>
      </x:c>
      <x:c r="C31" s="29" t="str">
        <x:v>‎+380938219364</x:v>
      </x:c>
      <x:c r="D31" s="29" t="str">
        <x:v>Partial</x:v>
      </x:c>
      <x:c r="E31" s="29" t="str">
        <x:v>Niamh (surname unknown)</x:v>
      </x:c>
      <x:c r="F31" s="29" t="str">
        <x:v>— / —</x:v>
      </x:c>
      <x:c r="G31" s="29" t="str">
        <x:v>Surname / exact identity and public professional profile</x:v>
      </x:c>
      <x:c r="H31" s="29" t="str">
        <x:v>Targeted public-source search, then consensual confirmation if needed</x:v>
      </x:c>
      <x:c r="I31" s="29" t="str">
        <x:v>Standard</x:v>
      </x:c>
      <x:c r="J31" s="29" t="str">
        <x:v>Not started</x:v>
      </x:c>
      <x:c r="K31" s="29" t="str">
        <x:v>Unassigned</x:v>
      </x:c>
      <x:c r="L31" s="29" t="str"/>
    </x:row>
    <x:row r="32">
      <x:c r="A32" s="30" t="n">
        <x:v>39</x:v>
      </x:c>
      <x:c r="B32" s="29" t="str">
        <x:v>No Name</x:v>
      </x:c>
      <x:c r="C32" s="29" t="str">
        <x:v>‎+380933858801</x:v>
      </x:c>
      <x:c r="D32" s="29" t="str">
        <x:v>Partial</x:v>
      </x:c>
      <x:c r="E32" s="29" t="str">
        <x:v>Identity unresolved</x:v>
      </x:c>
      <x:c r="F32" s="29" t="str">
        <x:v>— / —</x:v>
      </x:c>
      <x:c r="G32" s="29" t="str">
        <x:v>Surname / exact identity and public professional profile</x:v>
      </x:c>
      <x:c r="H32" s="29" t="str">
        <x:v>Targeted public-source search, then consensual confirmation if needed</x:v>
      </x:c>
      <x:c r="I32" s="29" t="str">
        <x:v>Standard</x:v>
      </x:c>
      <x:c r="J32" s="29" t="str">
        <x:v>Not started</x:v>
      </x:c>
      <x:c r="K32" s="29" t="str">
        <x:v>Unassigned</x:v>
      </x:c>
      <x:c r="L32" s="29" t="str"/>
    </x:row>
    <x:row r="33">
      <x:c r="A33" s="30" t="n">
        <x:v>40</x:v>
      </x:c>
      <x:c r="B33" s="29" t="str">
        <x:v>Oks.Le</x:v>
      </x:c>
      <x:c r="C33" s="29" t="str">
        <x:v>‎+380998972400</x:v>
      </x:c>
      <x:c r="D33" s="29" t="str">
        <x:v>Probable</x:v>
      </x:c>
      <x:c r="E33" s="29" t="str">
        <x:v>Oksana Leonova</x:v>
      </x:c>
      <x:c r="F33" s="29" t="str">
        <x:v>3xPC / Operations Manager</x:v>
      </x:c>
      <x:c r="G33" s="29" t="str">
        <x:v>Reliable link between the public profile and this group record</x:v>
      </x:c>
      <x:c r="H33" s="29" t="str">
        <x:v>Targeted public-source search, then consensual confirmation if needed</x:v>
      </x:c>
      <x:c r="I33" s="29" t="str">
        <x:v>High</x:v>
      </x:c>
      <x:c r="J33" s="29" t="str">
        <x:v>Not started</x:v>
      </x:c>
      <x:c r="K33" s="29" t="str">
        <x:v>Unassigned</x:v>
      </x:c>
      <x:c r="L33" s="29" t="str"/>
    </x:row>
    <x:row r="34">
      <x:c r="A34" s="30" t="n">
        <x:v>43</x:v>
      </x:c>
      <x:c r="B34" s="29" t="str">
        <x:v>Olena Puhach</x:v>
      </x:c>
      <x:c r="C34" s="29" t="str">
        <x:v>‎+380673211296</x:v>
      </x:c>
      <x:c r="D34" s="29" t="str">
        <x:v>Probable</x:v>
      </x:c>
      <x:c r="E34" s="29" t="str">
        <x:v>Olena Puhach</x:v>
      </x:c>
      <x:c r="F34" s="29" t="str">
        <x:v>Nippon Koei / Resident Business Development Manager</x:v>
      </x:c>
      <x:c r="G34" s="29" t="str">
        <x:v>Reliable link between the public profile and this group record</x:v>
      </x:c>
      <x:c r="H34" s="29" t="str">
        <x:v>Targeted public-source search, then consensual confirmation if needed</x:v>
      </x:c>
      <x:c r="I34" s="29" t="str">
        <x:v>High</x:v>
      </x:c>
      <x:c r="J34" s="29" t="str">
        <x:v>Not started</x:v>
      </x:c>
      <x:c r="K34" s="29" t="str">
        <x:v>Unassigned</x:v>
      </x:c>
      <x:c r="L34" s="29" t="str"/>
    </x:row>
    <x:row r="35">
      <x:c r="A35" s="30" t="n">
        <x:v>44</x:v>
      </x:c>
      <x:c r="B35" s="29" t="str">
        <x:v>Olga Kasyan</x:v>
      </x:c>
      <x:c r="C35" s="29" t="str">
        <x:v>‎+380939813055</x:v>
      </x:c>
      <x:c r="D35" s="29" t="str">
        <x:v>Self-identified</x:v>
      </x:c>
      <x:c r="E35" s="29" t="str">
        <x:v>Olga Kasyan</x:v>
      </x:c>
      <x:c r="F35" s="29" t="str">
        <x:v>— / —</x:v>
      </x:c>
      <x:c r="G35" s="29" t="str">
        <x:v>Current organisation, role and public-source confirmation</x:v>
      </x:c>
      <x:c r="H35" s="29" t="str">
        <x:v>Targeted public-source search, then consensual confirmation if needed</x:v>
      </x:c>
      <x:c r="I35" s="29" t="str">
        <x:v>Standard</x:v>
      </x:c>
      <x:c r="J35" s="29" t="str">
        <x:v>Not started</x:v>
      </x:c>
      <x:c r="K35" s="29" t="str">
        <x:v>Unassigned</x:v>
      </x:c>
      <x:c r="L35" s="29" t="str"/>
    </x:row>
    <x:row r="36">
      <x:c r="A36" s="30" t="n">
        <x:v>46</x:v>
      </x:c>
      <x:c r="B36" s="29" t="str">
        <x:v>PAUL</x:v>
      </x:c>
      <x:c r="C36" s="29" t="str">
        <x:v>‎+380950462513</x:v>
      </x:c>
      <x:c r="D36" s="29" t="str">
        <x:v>Self-identified</x:v>
      </x:c>
      <x:c r="E36" s="29" t="str">
        <x:v>Paul Radiy</x:v>
      </x:c>
      <x:c r="F36" s="29" t="str">
        <x:v>— / —</x:v>
      </x:c>
      <x:c r="G36" s="29" t="str">
        <x:v>Current organisation, role and public-source confirmation</x:v>
      </x:c>
      <x:c r="H36" s="29" t="str">
        <x:v>Targeted public-source search, then consensual confirmation if needed</x:v>
      </x:c>
      <x:c r="I36" s="29" t="str">
        <x:v>Standard</x:v>
      </x:c>
      <x:c r="J36" s="29" t="str">
        <x:v>Not started</x:v>
      </x:c>
      <x:c r="K36" s="29" t="str">
        <x:v>Unassigned</x:v>
      </x:c>
      <x:c r="L36" s="29" t="str"/>
    </x:row>
    <x:row r="37">
      <x:c r="A37" s="30" t="n">
        <x:v>47</x:v>
      </x:c>
      <x:c r="B37" s="29" t="str">
        <x:v>Peter</x:v>
      </x:c>
      <x:c r="C37" s="29" t="str">
        <x:v>‎+420733268433</x:v>
      </x:c>
      <x:c r="D37" s="29" t="str">
        <x:v>Partial</x:v>
      </x:c>
      <x:c r="E37" s="29" t="str">
        <x:v>Peter (surname unknown)</x:v>
      </x:c>
      <x:c r="F37" s="29" t="str">
        <x:v>— / —</x:v>
      </x:c>
      <x:c r="G37" s="29" t="str">
        <x:v>Surname / exact identity and public professional profile</x:v>
      </x:c>
      <x:c r="H37" s="29" t="str">
        <x:v>Targeted public-source search, then consensual confirmation if needed</x:v>
      </x:c>
      <x:c r="I37" s="29" t="str">
        <x:v>Standard</x:v>
      </x:c>
      <x:c r="J37" s="29" t="str">
        <x:v>Not started</x:v>
      </x:c>
      <x:c r="K37" s="29" t="str">
        <x:v>Unassigned</x:v>
      </x:c>
      <x:c r="L37" s="29" t="str"/>
    </x:row>
    <x:row r="38">
      <x:c r="A38" s="30" t="n">
        <x:v>49</x:v>
      </x:c>
      <x:c r="B38" s="29" t="str">
        <x:v>profbilousov</x:v>
      </x:c>
      <x:c r="C38" s="29" t="str">
        <x:v>‎+380963546093</x:v>
      </x:c>
      <x:c r="D38" s="29" t="str">
        <x:v>Self-identified</x:v>
      </x:c>
      <x:c r="E38" s="29" t="str">
        <x:v>Yurii Bilousov</x:v>
      </x:c>
      <x:c r="F38" s="29" t="str">
        <x:v>Yuzkov University / Academic / professor</x:v>
      </x:c>
      <x:c r="G38" s="29" t="str">
        <x:v>Current organisation, role and public-source confirmation</x:v>
      </x:c>
      <x:c r="H38" s="29" t="str">
        <x:v>Targeted public-source search, then consensual confirmation if needed</x:v>
      </x:c>
      <x:c r="I38" s="29" t="str">
        <x:v>Standard</x:v>
      </x:c>
      <x:c r="J38" s="29" t="str">
        <x:v>Not started</x:v>
      </x:c>
      <x:c r="K38" s="29" t="str">
        <x:v>Unassigned</x:v>
      </x:c>
      <x:c r="L38" s="29" t="str"/>
    </x:row>
    <x:row r="39">
      <x:c r="A39" s="30" t="n">
        <x:v>51</x:v>
      </x:c>
      <x:c r="B39" s="29" t="str">
        <x:v>Ran Drori</x:v>
      </x:c>
      <x:c r="C39" s="29" t="str">
        <x:v>‎+380930919735</x:v>
      </x:c>
      <x:c r="D39" s="29" t="str">
        <x:v>Self-identified</x:v>
      </x:c>
      <x:c r="E39" s="29" t="str">
        <x:v>Ran Drori</x:v>
      </x:c>
      <x:c r="F39" s="29" t="str">
        <x:v>— / —</x:v>
      </x:c>
      <x:c r="G39" s="29" t="str">
        <x:v>Current organisation, role and public-source confirmation</x:v>
      </x:c>
      <x:c r="H39" s="29" t="str">
        <x:v>Targeted public-source search, then consensual confirmation if needed</x:v>
      </x:c>
      <x:c r="I39" s="29" t="str">
        <x:v>Standard</x:v>
      </x:c>
      <x:c r="J39" s="29" t="str">
        <x:v>Not started</x:v>
      </x:c>
      <x:c r="K39" s="29" t="str">
        <x:v>Unassigned</x:v>
      </x:c>
      <x:c r="L39" s="29" t="str"/>
    </x:row>
    <x:row r="40">
      <x:c r="A40" s="30" t="n">
        <x:v>54</x:v>
      </x:c>
      <x:c r="B40" s="29" t="str">
        <x:v>Roman</x:v>
      </x:c>
      <x:c r="C40" s="29" t="str">
        <x:v>‎+380968405325</x:v>
      </x:c>
      <x:c r="D40" s="29" t="str">
        <x:v>Partial</x:v>
      </x:c>
      <x:c r="E40" s="29" t="str">
        <x:v>Roman (surname unknown)</x:v>
      </x:c>
      <x:c r="F40" s="29" t="str">
        <x:v>— / —</x:v>
      </x:c>
      <x:c r="G40" s="29" t="str">
        <x:v>Surname / exact identity and public professional profile</x:v>
      </x:c>
      <x:c r="H40" s="29" t="str">
        <x:v>Targeted public-source search, then consensual confirmation if needed</x:v>
      </x:c>
      <x:c r="I40" s="29" t="str">
        <x:v>Standard</x:v>
      </x:c>
      <x:c r="J40" s="29" t="str">
        <x:v>Not started</x:v>
      </x:c>
      <x:c r="K40" s="29" t="str">
        <x:v>Unassigned</x:v>
      </x:c>
      <x:c r="L40" s="29" t="str"/>
    </x:row>
    <x:row r="41">
      <x:c r="A41" s="30" t="n">
        <x:v>56</x:v>
      </x:c>
      <x:c r="B41" s="29" t="str">
        <x:v>Roman Guz</x:v>
      </x:c>
      <x:c r="C41" s="29" t="str">
        <x:v>‎+380671223776</x:v>
      </x:c>
      <x:c r="D41" s="29" t="str">
        <x:v>Self-identified</x:v>
      </x:c>
      <x:c r="E41" s="29" t="str">
        <x:v>Roman Guz</x:v>
      </x:c>
      <x:c r="F41" s="29" t="str">
        <x:v>Hilton Kyiv / Chief Security</x:v>
      </x:c>
      <x:c r="G41" s="29" t="str">
        <x:v>Current organisation, role and public-source confirmation</x:v>
      </x:c>
      <x:c r="H41" s="29" t="str">
        <x:v>Targeted public-source search, then consensual confirmation if needed</x:v>
      </x:c>
      <x:c r="I41" s="29" t="str">
        <x:v>High</x:v>
      </x:c>
      <x:c r="J41" s="29" t="str">
        <x:v>Not started</x:v>
      </x:c>
      <x:c r="K41" s="29" t="str">
        <x:v>Unassigned</x:v>
      </x:c>
      <x:c r="L41" s="29" t="str"/>
    </x:row>
    <x:row r="42">
      <x:c r="A42" s="30" t="n">
        <x:v>59</x:v>
      </x:c>
      <x:c r="B42" s="29" t="str">
        <x:v>S. Murphy</x:v>
      </x:c>
      <x:c r="C42" s="29" t="str">
        <x:v>‎+380974959159</x:v>
      </x:c>
      <x:c r="D42" s="29" t="str">
        <x:v>Self-identified</x:v>
      </x:c>
      <x:c r="E42" s="29" t="str">
        <x:v>S. Murphy</x:v>
      </x:c>
      <x:c r="F42" s="29" t="str">
        <x:v>OSCE Support Programme for Ukraine / Senior Security Officer</x:v>
      </x:c>
      <x:c r="G42" s="29" t="str">
        <x:v>Current organisation, role and public-source confirmation</x:v>
      </x:c>
      <x:c r="H42" s="29" t="str">
        <x:v>Targeted public-source search, then consensual confirmation if needed</x:v>
      </x:c>
      <x:c r="I42" s="29" t="str">
        <x:v>Medium</x:v>
      </x:c>
      <x:c r="J42" s="29" t="str">
        <x:v>Not started</x:v>
      </x:c>
      <x:c r="K42" s="29" t="str">
        <x:v>Unassigned</x:v>
      </x:c>
      <x:c r="L42" s="29" t="str"/>
    </x:row>
    <x:row r="43">
      <x:c r="A43" s="30" t="n">
        <x:v>60</x:v>
      </x:c>
      <x:c r="B43" s="29" t="str">
        <x:v>Sarah Parsons</x:v>
      </x:c>
      <x:c r="C43" s="29" t="str">
        <x:v>‎+380934206331</x:v>
      </x:c>
      <x:c r="D43" s="29" t="str">
        <x:v>Self-identified</x:v>
      </x:c>
      <x:c r="E43" s="29" t="str">
        <x:v>Sarah Parsons</x:v>
      </x:c>
      <x:c r="F43" s="29" t="str">
        <x:v>— / —</x:v>
      </x:c>
      <x:c r="G43" s="29" t="str">
        <x:v>Current organisation, role and public-source confirmation</x:v>
      </x:c>
      <x:c r="H43" s="29" t="str">
        <x:v>Targeted public-source search, then consensual confirmation if needed</x:v>
      </x:c>
      <x:c r="I43" s="29" t="str">
        <x:v>Standard</x:v>
      </x:c>
      <x:c r="J43" s="29" t="str">
        <x:v>Not started</x:v>
      </x:c>
      <x:c r="K43" s="29" t="str">
        <x:v>Unassigned</x:v>
      </x:c>
      <x:c r="L43" s="29" t="str"/>
    </x:row>
    <x:row r="44">
      <x:c r="A44" s="30" t="n">
        <x:v>61</x:v>
      </x:c>
      <x:c r="B44" s="29" t="str">
        <x:v>Sasha Shapkina</x:v>
      </x:c>
      <x:c r="C44" s="29" t="str">
        <x:v>‎+380994219811</x:v>
      </x:c>
      <x:c r="D44" s="29" t="str">
        <x:v>Self-identified</x:v>
      </x:c>
      <x:c r="E44" s="29" t="str">
        <x:v>Sasha Shapkina</x:v>
      </x:c>
      <x:c r="F44" s="29" t="str">
        <x:v>— / —</x:v>
      </x:c>
      <x:c r="G44" s="29" t="str">
        <x:v>Current organisation, role and public-source confirmation</x:v>
      </x:c>
      <x:c r="H44" s="29" t="str">
        <x:v>Targeted public-source search, then consensual confirmation if needed</x:v>
      </x:c>
      <x:c r="I44" s="29" t="str">
        <x:v>Standard</x:v>
      </x:c>
      <x:c r="J44" s="29" t="str">
        <x:v>Not started</x:v>
      </x:c>
      <x:c r="K44" s="29" t="str">
        <x:v>Unassigned</x:v>
      </x:c>
      <x:c r="L44" s="29" t="str"/>
    </x:row>
    <x:row r="45">
      <x:c r="A45" s="30" t="n">
        <x:v>62</x:v>
      </x:c>
      <x:c r="B45" s="29" t="str">
        <x:v>Sergey</x:v>
      </x:c>
      <x:c r="C45" s="29" t="str">
        <x:v>‎+380989553174</x:v>
      </x:c>
      <x:c r="D45" s="29" t="str">
        <x:v>Partial</x:v>
      </x:c>
      <x:c r="E45" s="29" t="str">
        <x:v>Sergey (surname unknown)</x:v>
      </x:c>
      <x:c r="F45" s="29" t="str">
        <x:v>— / —</x:v>
      </x:c>
      <x:c r="G45" s="29" t="str">
        <x:v>Surname / exact identity and public professional profile</x:v>
      </x:c>
      <x:c r="H45" s="29" t="str">
        <x:v>Targeted public-source search, then consensual confirmation if needed</x:v>
      </x:c>
      <x:c r="I45" s="29" t="str">
        <x:v>Standard</x:v>
      </x:c>
      <x:c r="J45" s="29" t="str">
        <x:v>Not started</x:v>
      </x:c>
      <x:c r="K45" s="29" t="str">
        <x:v>Unassigned</x:v>
      </x:c>
      <x:c r="L45" s="29" t="str"/>
    </x:row>
    <x:row r="46">
      <x:c r="A46" s="30" t="n">
        <x:v>63</x:v>
      </x:c>
      <x:c r="B46" s="29" t="str">
        <x:v>Sergii Mau</x:v>
      </x:c>
      <x:c r="C46" s="29" t="str">
        <x:v>‎+380995396940</x:v>
      </x:c>
      <x:c r="D46" s="29" t="str">
        <x:v>Self-identified</x:v>
      </x:c>
      <x:c r="E46" s="29" t="str">
        <x:v>Sergii Mau</x:v>
      </x:c>
      <x:c r="F46" s="29" t="str">
        <x:v>— / —</x:v>
      </x:c>
      <x:c r="G46" s="29" t="str">
        <x:v>Current organisation, role and public-source confirmation</x:v>
      </x:c>
      <x:c r="H46" s="29" t="str">
        <x:v>Targeted public-source search, then consensual confirmation if needed</x:v>
      </x:c>
      <x:c r="I46" s="29" t="str">
        <x:v>Standard</x:v>
      </x:c>
      <x:c r="J46" s="29" t="str">
        <x:v>Not started</x:v>
      </x:c>
      <x:c r="K46" s="29" t="str">
        <x:v>Unassigned</x:v>
      </x:c>
      <x:c r="L46" s="29" t="str"/>
    </x:row>
    <x:row r="47">
      <x:c r="A47" s="30" t="n">
        <x:v>64</x:v>
      </x:c>
      <x:c r="B47" s="29" t="str">
        <x:v>Shannon</x:v>
      </x:c>
      <x:c r="C47" s="29" t="str">
        <x:v>‎</x:v>
      </x:c>
      <x:c r="D47" s="29" t="str">
        <x:v>Unidentified</x:v>
      </x:c>
      <x:c r="E47" s="29" t="str">
        <x:v>Shannon (identity unresolved)</x:v>
      </x:c>
      <x:c r="F47" s="29" t="str">
        <x:v>— / —</x:v>
      </x:c>
      <x:c r="G47" s="29" t="str">
        <x:v>Full name, organisation, role and relevance</x:v>
      </x:c>
      <x:c r="H47" s="29" t="str">
        <x:v>Ask group administrators to invite a voluntary CRM profile update; avoid cold mass messaging</x:v>
      </x:c>
      <x:c r="I47" s="29" t="str">
        <x:v>Standard</x:v>
      </x:c>
      <x:c r="J47" s="29" t="str">
        <x:v>Not started</x:v>
      </x:c>
      <x:c r="K47" s="29" t="str">
        <x:v>Unassigned</x:v>
      </x:c>
      <x:c r="L47" s="29" t="str"/>
    </x:row>
    <x:row r="48">
      <x:c r="A48" s="30" t="n">
        <x:v>65</x:v>
      </x:c>
      <x:c r="B48" s="29" t="str">
        <x:v>Shawn</x:v>
      </x:c>
      <x:c r="C48" s="29" t="str">
        <x:v>‎+17606079081</x:v>
      </x:c>
      <x:c r="D48" s="29" t="str">
        <x:v>Partial</x:v>
      </x:c>
      <x:c r="E48" s="29" t="str">
        <x:v>Shawn (surname unknown)</x:v>
      </x:c>
      <x:c r="F48" s="29" t="str">
        <x:v>— / —</x:v>
      </x:c>
      <x:c r="G48" s="29" t="str">
        <x:v>Surname / exact identity and public professional profile</x:v>
      </x:c>
      <x:c r="H48" s="29" t="str">
        <x:v>Targeted public-source search, then consensual confirmation if needed</x:v>
      </x:c>
      <x:c r="I48" s="29" t="str">
        <x:v>Standard</x:v>
      </x:c>
      <x:c r="J48" s="29" t="str">
        <x:v>Not started</x:v>
      </x:c>
      <x:c r="K48" s="29" t="str">
        <x:v>Unassigned</x:v>
      </x:c>
      <x:c r="L48" s="29" t="str"/>
    </x:row>
    <x:row r="49">
      <x:c r="A49" s="30" t="n">
        <x:v>66</x:v>
      </x:c>
      <x:c r="B49" s="29" t="str">
        <x:v>Sofiia</x:v>
      </x:c>
      <x:c r="C49" s="29" t="str">
        <x:v>‎+380951310595</x:v>
      </x:c>
      <x:c r="D49" s="29" t="str">
        <x:v>Partial</x:v>
      </x:c>
      <x:c r="E49" s="29" t="str">
        <x:v>Sofiia (surname unknown)</x:v>
      </x:c>
      <x:c r="F49" s="29" t="str">
        <x:v>— / —</x:v>
      </x:c>
      <x:c r="G49" s="29" t="str">
        <x:v>Surname / exact identity and public professional profile</x:v>
      </x:c>
      <x:c r="H49" s="29" t="str">
        <x:v>Targeted public-source search, then consensual confirmation if needed</x:v>
      </x:c>
      <x:c r="I49" s="29" t="str">
        <x:v>Standard</x:v>
      </x:c>
      <x:c r="J49" s="29" t="str">
        <x:v>Not started</x:v>
      </x:c>
      <x:c r="K49" s="29" t="str">
        <x:v>Unassigned</x:v>
      </x:c>
      <x:c r="L49" s="29" t="str"/>
    </x:row>
    <x:row r="50">
      <x:c r="A50" s="30" t="n">
        <x:v>67</x:v>
      </x:c>
      <x:c r="B50" s="29" t="str">
        <x:v>Solomia Matsola</x:v>
      </x:c>
      <x:c r="C50" s="29" t="str">
        <x:v>‎+380957167249</x:v>
      </x:c>
      <x:c r="D50" s="29" t="str">
        <x:v>Probable</x:v>
      </x:c>
      <x:c r="E50" s="29" t="str">
        <x:v>Solomia Matsola</x:v>
      </x:c>
      <x:c r="F50" s="29" t="str">
        <x:v>Academic sector / Researcher / academic; exact current role unverified</x:v>
      </x:c>
      <x:c r="G50" s="29" t="str">
        <x:v>Reliable link between the public profile and this group record</x:v>
      </x:c>
      <x:c r="H50" s="29" t="str">
        <x:v>Targeted public-source search, then consensual confirmation if needed</x:v>
      </x:c>
      <x:c r="I50" s="29" t="str">
        <x:v>Standard</x:v>
      </x:c>
      <x:c r="J50" s="29" t="str">
        <x:v>Not started</x:v>
      </x:c>
      <x:c r="K50" s="29" t="str">
        <x:v>Unassigned</x:v>
      </x:c>
      <x:c r="L50" s="29" t="str"/>
    </x:row>
    <x:row r="51">
      <x:c r="A51" s="30" t="n">
        <x:v>68</x:v>
      </x:c>
      <x:c r="B51" s="29" t="str">
        <x:v>Stepan</x:v>
      </x:c>
      <x:c r="C51" s="29" t="str">
        <x:v>‎+380660379776</x:v>
      </x:c>
      <x:c r="D51" s="29" t="str">
        <x:v>Partial</x:v>
      </x:c>
      <x:c r="E51" s="29" t="str">
        <x:v>Stepan (surname unknown)</x:v>
      </x:c>
      <x:c r="F51" s="29" t="str">
        <x:v>— / —</x:v>
      </x:c>
      <x:c r="G51" s="29" t="str">
        <x:v>Surname / exact identity and public professional profile</x:v>
      </x:c>
      <x:c r="H51" s="29" t="str">
        <x:v>Targeted public-source search, then consensual confirmation if needed</x:v>
      </x:c>
      <x:c r="I51" s="29" t="str">
        <x:v>Standard</x:v>
      </x:c>
      <x:c r="J51" s="29" t="str">
        <x:v>Not started</x:v>
      </x:c>
      <x:c r="K51" s="29" t="str">
        <x:v>Unassigned</x:v>
      </x:c>
      <x:c r="L51" s="29" t="str"/>
    </x:row>
    <x:row r="52">
      <x:c r="A52" s="30" t="n">
        <x:v>70</x:v>
      </x:c>
      <x:c r="B52" s="29" t="str">
        <x:v>Teddy</x:v>
      </x:c>
      <x:c r="C52" s="29" t="str">
        <x:v>‎+13463957848</x:v>
      </x:c>
      <x:c r="D52" s="29" t="str">
        <x:v>Partial</x:v>
      </x:c>
      <x:c r="E52" s="29" t="str">
        <x:v>Teddy (surname unknown)</x:v>
      </x:c>
      <x:c r="F52" s="29" t="str">
        <x:v>— / —</x:v>
      </x:c>
      <x:c r="G52" s="29" t="str">
        <x:v>Surname / exact identity and public professional profile</x:v>
      </x:c>
      <x:c r="H52" s="29" t="str">
        <x:v>Targeted public-source search, then consensual confirmation if needed</x:v>
      </x:c>
      <x:c r="I52" s="29" t="str">
        <x:v>Standard</x:v>
      </x:c>
      <x:c r="J52" s="29" t="str">
        <x:v>Not started</x:v>
      </x:c>
      <x:c r="K52" s="29" t="str">
        <x:v>Unassigned</x:v>
      </x:c>
      <x:c r="L52" s="29" t="str"/>
    </x:row>
    <x:row r="53">
      <x:c r="A53" s="30" t="n">
        <x:v>71</x:v>
      </x:c>
      <x:c r="B53" s="29" t="str">
        <x:v>Tetiana</x:v>
      </x:c>
      <x:c r="C53" s="29" t="str">
        <x:v>‎+380677166492</x:v>
      </x:c>
      <x:c r="D53" s="29" t="str">
        <x:v>Partial</x:v>
      </x:c>
      <x:c r="E53" s="29" t="str">
        <x:v>Tetiana (surname unknown)</x:v>
      </x:c>
      <x:c r="F53" s="29" t="str">
        <x:v>— / —</x:v>
      </x:c>
      <x:c r="G53" s="29" t="str">
        <x:v>Surname / exact identity and public professional profile</x:v>
      </x:c>
      <x:c r="H53" s="29" t="str">
        <x:v>Targeted public-source search, then consensual confirmation if needed</x:v>
      </x:c>
      <x:c r="I53" s="29" t="str">
        <x:v>Standard</x:v>
      </x:c>
      <x:c r="J53" s="29" t="str">
        <x:v>Not started</x:v>
      </x:c>
      <x:c r="K53" s="29" t="str">
        <x:v>Unassigned</x:v>
      </x:c>
      <x:c r="L53" s="29" t="str"/>
    </x:row>
    <x:row r="54">
      <x:c r="A54" s="30" t="n">
        <x:v>72</x:v>
      </x:c>
      <x:c r="B54" s="29" t="str">
        <x:v>Tetiana Cherniavska</x:v>
      </x:c>
      <x:c r="C54" s="29" t="str">
        <x:v>‎+380676417979</x:v>
      </x:c>
      <x:c r="D54" s="29" t="str">
        <x:v>Self-identified</x:v>
      </x:c>
      <x:c r="E54" s="29" t="str">
        <x:v>Tetiana Cherniavska</x:v>
      </x:c>
      <x:c r="F54" s="29" t="str">
        <x:v>Venbest LLC / Risk Analyst</x:v>
      </x:c>
      <x:c r="G54" s="29" t="str">
        <x:v>Current organisation, role and public-source confirmation</x:v>
      </x:c>
      <x:c r="H54" s="29" t="str">
        <x:v>Targeted public-source search, then consensual confirmation if needed</x:v>
      </x:c>
      <x:c r="I54" s="29" t="str">
        <x:v>High</x:v>
      </x:c>
      <x:c r="J54" s="29" t="str">
        <x:v>Not started</x:v>
      </x:c>
      <x:c r="K54" s="29" t="str">
        <x:v>Unassigned</x:v>
      </x:c>
      <x:c r="L54" s="29" t="str"/>
    </x:row>
    <x:row r="55">
      <x:c r="A55" s="30" t="n">
        <x:v>73</x:v>
      </x:c>
      <x:c r="B55" s="29" t="str">
        <x:v>Toby Illingworth</x:v>
      </x:c>
      <x:c r="C55" s="29" t="str">
        <x:v>‎+447772864683</x:v>
      </x:c>
      <x:c r="D55" s="29" t="str">
        <x:v>Self-identified</x:v>
      </x:c>
      <x:c r="E55" s="29" t="str">
        <x:v>Toby Illingworth</x:v>
      </x:c>
      <x:c r="F55" s="29" t="str">
        <x:v>Yashchenko Foundation / Founder</x:v>
      </x:c>
      <x:c r="G55" s="29" t="str">
        <x:v>Current organisation, role and public-source confirmation</x:v>
      </x:c>
      <x:c r="H55" s="29" t="str">
        <x:v>Targeted public-source search, then consensual confirmation if needed</x:v>
      </x:c>
      <x:c r="I55" s="29" t="str">
        <x:v>High</x:v>
      </x:c>
      <x:c r="J55" s="29" t="str">
        <x:v>Not started</x:v>
      </x:c>
      <x:c r="K55" s="29" t="str">
        <x:v>Unassigned</x:v>
      </x:c>
      <x:c r="L55" s="29" t="str"/>
    </x:row>
    <x:row r="56">
      <x:c r="A56" s="30" t="n">
        <x:v>74</x:v>
      </x:c>
      <x:c r="B56" s="29" t="str">
        <x:v>Tymofii SM HelpAgeInt</x:v>
      </x:c>
      <x:c r="C56" s="29" t="str">
        <x:v>‎+380503552898</x:v>
      </x:c>
      <x:c r="D56" s="29" t="str">
        <x:v>Partial</x:v>
      </x:c>
      <x:c r="E56" s="29" t="str">
        <x:v>Tymofii (surname unknown)</x:v>
      </x:c>
      <x:c r="F56" s="29" t="str">
        <x:v>HelpAge International / Security Manager</x:v>
      </x:c>
      <x:c r="G56" s="29" t="str">
        <x:v>Surname / exact identity and public professional profile</x:v>
      </x:c>
      <x:c r="H56" s="29" t="str">
        <x:v>Targeted public-source search, then consensual confirmation if needed</x:v>
      </x:c>
      <x:c r="I56" s="29" t="str">
        <x:v>High</x:v>
      </x:c>
      <x:c r="J56" s="29" t="str">
        <x:v>Not started</x:v>
      </x:c>
      <x:c r="K56" s="29" t="str">
        <x:v>Unassigned</x:v>
      </x:c>
      <x:c r="L56" s="29" t="str"/>
    </x:row>
    <x:row r="57">
      <x:c r="A57" s="30" t="n">
        <x:v>75</x:v>
      </x:c>
      <x:c r="B57" s="29" t="str">
        <x:v>Uliana</x:v>
      </x:c>
      <x:c r="C57" s="29" t="str">
        <x:v>‎+380669572252</x:v>
      </x:c>
      <x:c r="D57" s="29" t="str">
        <x:v>Partial</x:v>
      </x:c>
      <x:c r="E57" s="29" t="str">
        <x:v>Uliana (surname unknown)</x:v>
      </x:c>
      <x:c r="F57" s="29" t="str">
        <x:v>— / —</x:v>
      </x:c>
      <x:c r="G57" s="29" t="str">
        <x:v>Surname / exact identity and public professional profile</x:v>
      </x:c>
      <x:c r="H57" s="29" t="str">
        <x:v>Targeted public-source search, then consensual confirmation if needed</x:v>
      </x:c>
      <x:c r="I57" s="29" t="str">
        <x:v>Standard</x:v>
      </x:c>
      <x:c r="J57" s="29" t="str">
        <x:v>Not started</x:v>
      </x:c>
      <x:c r="K57" s="29" t="str">
        <x:v>Unassigned</x:v>
      </x:c>
      <x:c r="L57" s="29" t="str"/>
    </x:row>
    <x:row r="58">
      <x:c r="A58" s="30" t="n">
        <x:v>76</x:v>
      </x:c>
      <x:c r="B58" s="29" t="str">
        <x:v>ValChord</x:v>
      </x:c>
      <x:c r="C58" s="29" t="str">
        <x:v>‎+380975149826</x:v>
      </x:c>
      <x:c r="D58" s="29" t="str">
        <x:v>Partial</x:v>
      </x:c>
      <x:c r="E58" s="29" t="str">
        <x:v>ValChord (identity unresolved)</x:v>
      </x:c>
      <x:c r="F58" s="29" t="str">
        <x:v>— / —</x:v>
      </x:c>
      <x:c r="G58" s="29" t="str">
        <x:v>Surname / exact identity and public professional profile</x:v>
      </x:c>
      <x:c r="H58" s="29" t="str">
        <x:v>Targeted public-source search, then consensual confirmation if needed</x:v>
      </x:c>
      <x:c r="I58" s="29" t="str">
        <x:v>Standard</x:v>
      </x:c>
      <x:c r="J58" s="29" t="str">
        <x:v>Not started</x:v>
      </x:c>
      <x:c r="K58" s="29" t="str">
        <x:v>Unassigned</x:v>
      </x:c>
      <x:c r="L58" s="29" t="str"/>
    </x:row>
    <x:row r="59">
      <x:c r="A59" s="30" t="n">
        <x:v>77</x:v>
      </x:c>
      <x:c r="B59" s="29" t="str">
        <x:v>Vasyl Piskunov</x:v>
      </x:c>
      <x:c r="C59" s="29" t="str">
        <x:v>‎+380507420079</x:v>
      </x:c>
      <x:c r="D59" s="29" t="str">
        <x:v>Self-identified</x:v>
      </x:c>
      <x:c r="E59" s="29" t="str">
        <x:v>Vasyl Piskunov</x:v>
      </x:c>
      <x:c r="F59" s="29" t="str">
        <x:v>INSO Ukraine / Safety Adviser</x:v>
      </x:c>
      <x:c r="G59" s="29" t="str">
        <x:v>Current organisation, role and public-source confirmation</x:v>
      </x:c>
      <x:c r="H59" s="29" t="str">
        <x:v>Targeted public-source search, then consensual confirmation if needed</x:v>
      </x:c>
      <x:c r="I59" s="29" t="str">
        <x:v>Medium</x:v>
      </x:c>
      <x:c r="J59" s="29" t="str">
        <x:v>Not started</x:v>
      </x:c>
      <x:c r="K59" s="29" t="str">
        <x:v>Unassigned</x:v>
      </x:c>
      <x:c r="L59" s="29" t="str"/>
    </x:row>
    <x:row r="60">
      <x:c r="A60" s="30" t="n">
        <x:v>81</x:v>
      </x:c>
      <x:c r="B60" s="29" t="str">
        <x:v>Vlad</x:v>
      </x:c>
      <x:c r="C60" s="29" t="str">
        <x:v>‎+380682227900</x:v>
      </x:c>
      <x:c r="D60" s="29" t="str">
        <x:v>Partial</x:v>
      </x:c>
      <x:c r="E60" s="29" t="str">
        <x:v>Vlad (surname unknown)</x:v>
      </x:c>
      <x:c r="F60" s="29" t="str">
        <x:v>— / —</x:v>
      </x:c>
      <x:c r="G60" s="29" t="str">
        <x:v>Surname / exact identity and public professional profile</x:v>
      </x:c>
      <x:c r="H60" s="29" t="str">
        <x:v>Targeted public-source search, then consensual confirmation if needed</x:v>
      </x:c>
      <x:c r="I60" s="29" t="str">
        <x:v>Standard</x:v>
      </x:c>
      <x:c r="J60" s="29" t="str">
        <x:v>Not started</x:v>
      </x:c>
      <x:c r="K60" s="29" t="str">
        <x:v>Unassigned</x:v>
      </x:c>
      <x:c r="L60" s="29" t="str"/>
    </x:row>
    <x:row r="61">
      <x:c r="A61" s="30" t="n">
        <x:v>82</x:v>
      </x:c>
      <x:c r="B61" s="29" t="str">
        <x:v>Volodymyr</x:v>
      </x:c>
      <x:c r="C61" s="29" t="str">
        <x:v>‎+380672445525</x:v>
      </x:c>
      <x:c r="D61" s="29" t="str">
        <x:v>Partial</x:v>
      </x:c>
      <x:c r="E61" s="29" t="str">
        <x:v>Volodymyr (surname unknown)</x:v>
      </x:c>
      <x:c r="F61" s="29" t="str">
        <x:v>Caritas-Spes Ukraine / Risk &amp; Security Manager</x:v>
      </x:c>
      <x:c r="G61" s="29" t="str">
        <x:v>Surname / exact identity and public professional profile</x:v>
      </x:c>
      <x:c r="H61" s="29" t="str">
        <x:v>Targeted public-source search, then consensual confirmation if needed</x:v>
      </x:c>
      <x:c r="I61" s="29" t="str">
        <x:v>High</x:v>
      </x:c>
      <x:c r="J61" s="29" t="str">
        <x:v>Not started</x:v>
      </x:c>
      <x:c r="K61" s="29" t="str">
        <x:v>Unassigned</x:v>
      </x:c>
      <x:c r="L61" s="29" t="str"/>
    </x:row>
    <x:row r="62">
      <x:c r="A62" s="30" t="n">
        <x:v>83</x:v>
      </x:c>
      <x:c r="B62" s="29" t="str">
        <x:v>Will Giddings</x:v>
      </x:c>
      <x:c r="C62" s="29" t="str">
        <x:v>‎+447769537301</x:v>
      </x:c>
      <x:c r="D62" s="29" t="str">
        <x:v>Self-identified</x:v>
      </x:c>
      <x:c r="E62" s="29" t="str">
        <x:v>Will Giddings</x:v>
      </x:c>
      <x:c r="F62" s="29" t="str">
        <x:v>Dow Jones / Risk Manager</x:v>
      </x:c>
      <x:c r="G62" s="29" t="str">
        <x:v>Current organisation, role and public-source confirmation</x:v>
      </x:c>
      <x:c r="H62" s="29" t="str">
        <x:v>Targeted public-source search, then consensual confirmation if needed</x:v>
      </x:c>
      <x:c r="I62" s="29" t="str">
        <x:v>High</x:v>
      </x:c>
      <x:c r="J62" s="29" t="str">
        <x:v>Not started</x:v>
      </x:c>
      <x:c r="K62" s="29" t="str">
        <x:v>Unassigned</x:v>
      </x:c>
      <x:c r="L62" s="29" t="str"/>
    </x:row>
    <x:row r="63">
      <x:c r="A63" s="30" t="n">
        <x:v>84</x:v>
      </x:c>
      <x:c r="B63" s="29" t="str">
        <x:v>Yatsyno Oscar</x:v>
      </x:c>
      <x:c r="C63" s="29" t="str">
        <x:v>‎+380637151840</x:v>
      </x:c>
      <x:c r="D63" s="29" t="str">
        <x:v>Self-identified</x:v>
      </x:c>
      <x:c r="E63" s="29" t="str">
        <x:v>Oscar Yatsyno</x:v>
      </x:c>
      <x:c r="F63" s="29" t="str">
        <x:v>Caritas / DHSSA / security-related role</x:v>
      </x:c>
      <x:c r="G63" s="29" t="str">
        <x:v>Current organisation, role and public-source confirmation</x:v>
      </x:c>
      <x:c r="H63" s="29" t="str">
        <x:v>Targeted public-source search, then consensual confirmation if needed</x:v>
      </x:c>
      <x:c r="I63" s="29" t="str">
        <x:v>Medium</x:v>
      </x:c>
      <x:c r="J63" s="29" t="str">
        <x:v>Not started</x:v>
      </x:c>
      <x:c r="K63" s="29" t="str">
        <x:v>Unassigned</x:v>
      </x:c>
      <x:c r="L63" s="29" t="str"/>
    </x:row>
    <x:row r="64">
      <x:c r="A64" s="30" t="n">
        <x:v>86</x:v>
      </x:c>
      <x:c r="B64" s="29" t="str">
        <x:v>Yuliya</x:v>
      </x:c>
      <x:c r="C64" s="29" t="str">
        <x:v>‎+380672384328</x:v>
      </x:c>
      <x:c r="D64" s="29" t="str">
        <x:v>Partial</x:v>
      </x:c>
      <x:c r="E64" s="29" t="str">
        <x:v>Yuliya (surname unknown)</x:v>
      </x:c>
      <x:c r="F64" s="29" t="str">
        <x:v>— / —</x:v>
      </x:c>
      <x:c r="G64" s="29" t="str">
        <x:v>Surname / exact identity and public professional profile</x:v>
      </x:c>
      <x:c r="H64" s="29" t="str">
        <x:v>Targeted public-source search, then consensual confirmation if needed</x:v>
      </x:c>
      <x:c r="I64" s="29" t="str">
        <x:v>Standard</x:v>
      </x:c>
      <x:c r="J64" s="29" t="str">
        <x:v>Not started</x:v>
      </x:c>
      <x:c r="K64" s="29" t="str">
        <x:v>Unassigned</x:v>
      </x:c>
      <x:c r="L64" s="29" t="str"/>
    </x:row>
    <x:row r="65">
      <x:c r="A65" s="30" t="n">
        <x:v>87</x:v>
      </x:c>
      <x:c r="B65" s="29" t="str">
        <x:v>Евгений</x:v>
      </x:c>
      <x:c r="C65" s="29" t="str">
        <x:v>‎+380688689828</x:v>
      </x:c>
      <x:c r="D65" s="29" t="str">
        <x:v>Partial</x:v>
      </x:c>
      <x:c r="E65" s="29" t="str">
        <x:v>Yevhenii (surname unknown)</x:v>
      </x:c>
      <x:c r="F65" s="29" t="str">
        <x:v>— / —</x:v>
      </x:c>
      <x:c r="G65" s="29" t="str">
        <x:v>Surname / exact identity and public professional profile</x:v>
      </x:c>
      <x:c r="H65" s="29" t="str">
        <x:v>Targeted public-source search, then consensual confirmation if needed</x:v>
      </x:c>
      <x:c r="I65" s="29" t="str">
        <x:v>Standard</x:v>
      </x:c>
      <x:c r="J65" s="29" t="str">
        <x:v>Not started</x:v>
      </x:c>
      <x:c r="K65" s="29" t="str">
        <x:v>Unassigned</x:v>
      </x:c>
      <x:c r="L65" s="29" t="str"/>
    </x:row>
    <x:row r="66">
      <x:c r="A66" s="30" t="n">
        <x:v>88</x:v>
      </x:c>
      <x:c r="B66" s="29" t="str">
        <x:v>Игорь</x:v>
      </x:c>
      <x:c r="C66" s="29" t="str">
        <x:v>‎+380636060926</x:v>
      </x:c>
      <x:c r="D66" s="29" t="str">
        <x:v>Partial</x:v>
      </x:c>
      <x:c r="E66" s="29" t="str">
        <x:v>Igor (surname unknown)</x:v>
      </x:c>
      <x:c r="F66" s="29" t="str">
        <x:v>— / —</x:v>
      </x:c>
      <x:c r="G66" s="29" t="str">
        <x:v>Surname / exact identity and public professional profile</x:v>
      </x:c>
      <x:c r="H66" s="29" t="str">
        <x:v>Targeted public-source search, then consensual confirmation if needed</x:v>
      </x:c>
      <x:c r="I66" s="29" t="str">
        <x:v>Standard</x:v>
      </x:c>
      <x:c r="J66" s="29" t="str">
        <x:v>Not started</x:v>
      </x:c>
      <x:c r="K66" s="29" t="str">
        <x:v>Unassigned</x:v>
      </x:c>
      <x:c r="L66" s="29" t="str"/>
    </x:row>
    <x:row r="67">
      <x:c r="A67" s="30" t="n">
        <x:v>89</x:v>
      </x:c>
      <x:c r="B67" s="29" t="str">
        <x:v>Игорь</x:v>
      </x:c>
      <x:c r="C67" s="29" t="str">
        <x:v>‎+380976584143</x:v>
      </x:c>
      <x:c r="D67" s="29" t="str">
        <x:v>Partial</x:v>
      </x:c>
      <x:c r="E67" s="29" t="str">
        <x:v>Igor (surname unknown)</x:v>
      </x:c>
      <x:c r="F67" s="29" t="str">
        <x:v>NGO Misto Syly / Project Manager</x:v>
      </x:c>
      <x:c r="G67" s="29" t="str">
        <x:v>Surname / exact identity and public professional profile</x:v>
      </x:c>
      <x:c r="H67" s="29" t="str">
        <x:v>Targeted public-source search, then consensual confirmation if needed</x:v>
      </x:c>
      <x:c r="I67" s="29" t="str">
        <x:v>Standard</x:v>
      </x:c>
      <x:c r="J67" s="29" t="str">
        <x:v>Not started</x:v>
      </x:c>
      <x:c r="K67" s="29" t="str">
        <x:v>Unassigned</x:v>
      </x:c>
      <x:c r="L67" s="29" t="str"/>
    </x:row>
    <x:row r="68">
      <x:c r="A68" s="30" t="n">
        <x:v>91</x:v>
      </x:c>
      <x:c r="B68" s="29" t="str">
        <x:v>Маx Hryshchenko</x:v>
      </x:c>
      <x:c r="C68" s="29" t="str">
        <x:v>‎+380679412917</x:v>
      </x:c>
      <x:c r="D68" s="29" t="str">
        <x:v>Self-identified</x:v>
      </x:c>
      <x:c r="E68" s="29" t="str">
        <x:v>Max Hryshchenko</x:v>
      </x:c>
      <x:c r="F68" s="29" t="str">
        <x:v>— / —</x:v>
      </x:c>
      <x:c r="G68" s="29" t="str">
        <x:v>Current organisation, role and public-source confirmation</x:v>
      </x:c>
      <x:c r="H68" s="29" t="str">
        <x:v>Targeted public-source search, then consensual confirmation if needed</x:v>
      </x:c>
      <x:c r="I68" s="29" t="str">
        <x:v>Standard</x:v>
      </x:c>
      <x:c r="J68" s="29" t="str">
        <x:v>Not started</x:v>
      </x:c>
      <x:c r="K68" s="29" t="str">
        <x:v>Unassigned</x:v>
      </x:c>
      <x:c r="L68" s="29" t="str"/>
    </x:row>
    <x:row r="69">
      <x:c r="A69" s="30" t="n">
        <x:v>92</x:v>
      </x:c>
      <x:c r="B69" s="29" t="str">
        <x:v>Марія</x:v>
      </x:c>
      <x:c r="C69" s="29" t="str">
        <x:v>‎+380635969240</x:v>
      </x:c>
      <x:c r="D69" s="29" t="str">
        <x:v>Partial</x:v>
      </x:c>
      <x:c r="E69" s="29" t="str">
        <x:v>Mariia (surname unknown)</x:v>
      </x:c>
      <x:c r="F69" s="29" t="str">
        <x:v>— / —</x:v>
      </x:c>
      <x:c r="G69" s="29" t="str">
        <x:v>Surname / exact identity and public professional profile</x:v>
      </x:c>
      <x:c r="H69" s="29" t="str">
        <x:v>Targeted public-source search, then consensual confirmation if needed</x:v>
      </x:c>
      <x:c r="I69" s="29" t="str">
        <x:v>Standard</x:v>
      </x:c>
      <x:c r="J69" s="29" t="str">
        <x:v>Not started</x:v>
      </x:c>
      <x:c r="K69" s="29" t="str">
        <x:v>Unassigned</x:v>
      </x:c>
      <x:c r="L69" s="29" t="str"/>
    </x:row>
    <x:row r="70">
      <x:c r="A70" s="30" t="n">
        <x:v>93</x:v>
      </x:c>
      <x:c r="B70" s="29" t="str">
        <x:v>Марценюк Наталя</x:v>
      </x:c>
      <x:c r="C70" s="29" t="str">
        <x:v>‎+380686090416</x:v>
      </x:c>
      <x:c r="D70" s="29" t="str">
        <x:v>Probable</x:v>
      </x:c>
      <x:c r="E70" s="29" t="str">
        <x:v>Natalia Martseniuk</x:v>
      </x:c>
      <x:c r="F70" s="29" t="str">
        <x:v>NULES (probable) / Aquaculture academic (probable)</x:v>
      </x:c>
      <x:c r="G70" s="29" t="str">
        <x:v>Reliable link between the public profile and this group record</x:v>
      </x:c>
      <x:c r="H70" s="29" t="str">
        <x:v>Targeted public-source search, then consensual confirmation if needed</x:v>
      </x:c>
      <x:c r="I70" s="29" t="str">
        <x:v>Standard</x:v>
      </x:c>
      <x:c r="J70" s="29" t="str">
        <x:v>Not started</x:v>
      </x:c>
      <x:c r="K70" s="29" t="str">
        <x:v>Unassigned</x:v>
      </x:c>
      <x:c r="L70" s="29" t="str"/>
    </x:row>
    <x:row r="71">
      <x:c r="A71" s="30" t="n">
        <x:v>95</x:v>
      </x:c>
      <x:c r="B71" s="29" t="str">
        <x:v>Оксана Давиденко</x:v>
      </x:c>
      <x:c r="C71" s="29" t="str">
        <x:v>‎+380682194223</x:v>
      </x:c>
      <x:c r="D71" s="29" t="str">
        <x:v>Probable</x:v>
      </x:c>
      <x:c r="E71" s="29" t="str">
        <x:v>Oksana Davydenko</x:v>
      </x:c>
      <x:c r="F71" s="29" t="str">
        <x:v>Starlight Media / Deputy Director for Legal Affairs (public match)</x:v>
      </x:c>
      <x:c r="G71" s="29" t="str">
        <x:v>Reliable link between the public profile and this group record</x:v>
      </x:c>
      <x:c r="H71" s="29" t="str">
        <x:v>Targeted public-source search, then consensual confirmation if needed</x:v>
      </x:c>
      <x:c r="I71" s="29" t="str">
        <x:v>High</x:v>
      </x:c>
      <x:c r="J71" s="29" t="str">
        <x:v>Not started</x:v>
      </x:c>
      <x:c r="K71" s="29" t="str">
        <x:v>Unassigned</x:v>
      </x:c>
      <x:c r="L71" s="29" t="str"/>
    </x:row>
    <x:row r="72">
      <x:c r="A72" s="30" t="n">
        <x:v>96</x:v>
      </x:c>
      <x:c r="B72" s="29" t="str">
        <x:v>Олег Засадний</x:v>
      </x:c>
      <x:c r="C72" s="29" t="str">
        <x:v>‎+380673412300</x:v>
      </x:c>
      <x:c r="D72" s="29" t="str">
        <x:v>Probable</x:v>
      </x:c>
      <x:c r="E72" s="29" t="str">
        <x:v>Oleh Zasadnyi</x:v>
      </x:c>
      <x:c r="F72" s="29" t="str">
        <x:v>Public / project management sector / Former Lviv Euro-2012 department director (public match)</x:v>
      </x:c>
      <x:c r="G72" s="29" t="str">
        <x:v>Reliable link between the public profile and this group record</x:v>
      </x:c>
      <x:c r="H72" s="29" t="str">
        <x:v>Targeted public-source search, then consensual confirmation if needed</x:v>
      </x:c>
      <x:c r="I72" s="29" t="str">
        <x:v>Medium</x:v>
      </x:c>
      <x:c r="J72" s="29" t="str">
        <x:v>Not started</x:v>
      </x:c>
      <x:c r="K72" s="29" t="str">
        <x:v>Unassigned</x:v>
      </x:c>
      <x:c r="L72" s="29" t="str"/>
    </x:row>
    <x:row r="73">
      <x:c r="A73" s="30" t="n">
        <x:v>99</x:v>
      </x:c>
      <x:c r="B73" s="29" t="str">
        <x:v>Юрій</x:v>
      </x:c>
      <x:c r="C73" s="29" t="str">
        <x:v>‎+380503578959</x:v>
      </x:c>
      <x:c r="D73" s="29" t="str">
        <x:v>Partial</x:v>
      </x:c>
      <x:c r="E73" s="29" t="str">
        <x:v>Yurii (surname unknown)</x:v>
      </x:c>
      <x:c r="F73" s="29" t="str">
        <x:v>GCS Ukraine / Security Manager</x:v>
      </x:c>
      <x:c r="G73" s="29" t="str">
        <x:v>Surname / exact identity and public professional profile</x:v>
      </x:c>
      <x:c r="H73" s="29" t="str">
        <x:v>Targeted public-source search, then consensual confirmation if needed</x:v>
      </x:c>
      <x:c r="I73" s="29" t="str">
        <x:v>High</x:v>
      </x:c>
      <x:c r="J73" s="29" t="str">
        <x:v>Not started</x:v>
      </x:c>
      <x:c r="K73" s="29" t="str">
        <x:v>Unassigned</x:v>
      </x:c>
      <x:c r="L73" s="29" t="str"/>
    </x:row>
    <x:row r="74">
      <x:c r="A74" s="30" t="n">
        <x:v>100</x:v>
      </x:c>
      <x:c r="B74" s="29" t="str">
        <x:v>+380 66 000 9314</x:v>
      </x:c>
      <x:c r="C74" s="29" t="str">
        <x:v>‎+380660009314</x:v>
      </x:c>
      <x:c r="D74" s="29" t="str">
        <x:v>Unidentified</x:v>
      </x:c>
      <x:c r="E74" s="29" t="str">
        <x:v>Unidentified number</x:v>
      </x:c>
      <x:c r="F74" s="29" t="str">
        <x:v>— / —</x:v>
      </x:c>
      <x:c r="G74" s="29" t="str">
        <x:v>Full name, organisation, role and relevance</x:v>
      </x:c>
      <x:c r="H74" s="29" t="str">
        <x:v>Ask group administrators to invite a voluntary CRM profile update; avoid cold mass messaging</x:v>
      </x:c>
      <x:c r="I74" s="29" t="str">
        <x:v>Standard</x:v>
      </x:c>
      <x:c r="J74" s="29" t="str">
        <x:v>Not started</x:v>
      </x:c>
      <x:c r="K74" s="29" t="str">
        <x:v>Unassigned</x:v>
      </x:c>
      <x:c r="L74" s="29" t="str"/>
    </x:row>
    <x:row r="75">
      <x:c r="A75" s="30" t="n">
        <x:v>101</x:v>
      </x:c>
      <x:c r="B75" s="29" t="str">
        <x:v>+380 73 020 7211</x:v>
      </x:c>
      <x:c r="C75" s="29" t="str">
        <x:v>‎+380730207211</x:v>
      </x:c>
      <x:c r="D75" s="29" t="str">
        <x:v>Unidentified</x:v>
      </x:c>
      <x:c r="E75" s="29" t="str">
        <x:v>Unidentified number</x:v>
      </x:c>
      <x:c r="F75" s="29" t="str">
        <x:v>— / —</x:v>
      </x:c>
      <x:c r="G75" s="29" t="str">
        <x:v>Full name, organisation, role and relevance</x:v>
      </x:c>
      <x:c r="H75" s="29" t="str">
        <x:v>Ask group administrators to invite a voluntary CRM profile update; avoid cold mass messaging</x:v>
      </x:c>
      <x:c r="I75" s="29" t="str">
        <x:v>Standard</x:v>
      </x:c>
      <x:c r="J75" s="29" t="str">
        <x:v>Not started</x:v>
      </x:c>
      <x:c r="K75" s="29" t="str">
        <x:v>Unassigned</x:v>
      </x:c>
      <x:c r="L75" s="29" t="str"/>
    </x:row>
    <x:row r="76">
      <x:c r="A76" s="30" t="n">
        <x:v>102</x:v>
      </x:c>
      <x:c r="B76" s="29" t="str">
        <x:v>+380 97 499 7332</x:v>
      </x:c>
      <x:c r="C76" s="29" t="str">
        <x:v>‎+380974997332</x:v>
      </x:c>
      <x:c r="D76" s="29" t="str">
        <x:v>Unidentified</x:v>
      </x:c>
      <x:c r="E76" s="29" t="str">
        <x:v>Unidentified number</x:v>
      </x:c>
      <x:c r="F76" s="29" t="str">
        <x:v>— / —</x:v>
      </x:c>
      <x:c r="G76" s="29" t="str">
        <x:v>Full name, organisation, role and relevance</x:v>
      </x:c>
      <x:c r="H76" s="29" t="str">
        <x:v>Ask group administrators to invite a voluntary CRM profile update; avoid cold mass messaging</x:v>
      </x:c>
      <x:c r="I76" s="29" t="str">
        <x:v>Standard</x:v>
      </x:c>
      <x:c r="J76" s="29" t="str">
        <x:v>Not started</x:v>
      </x:c>
      <x:c r="K76" s="29" t="str">
        <x:v>Unassigned</x:v>
      </x:c>
      <x:c r="L76" s="29" t="str"/>
    </x:row>
    <x:row r="77">
      <x:c r="A77" s="30" t="n">
        <x:v>103</x:v>
      </x:c>
      <x:c r="B77" s="29" t="str">
        <x:v>+380 50 764 9372</x:v>
      </x:c>
      <x:c r="C77" s="29" t="str">
        <x:v>‎+380507649372</x:v>
      </x:c>
      <x:c r="D77" s="29" t="str">
        <x:v>Unidentified</x:v>
      </x:c>
      <x:c r="E77" s="29" t="str">
        <x:v>Unidentified number</x:v>
      </x:c>
      <x:c r="F77" s="29" t="str">
        <x:v>— / —</x:v>
      </x:c>
      <x:c r="G77" s="29" t="str">
        <x:v>Full name, organisation, role and relevance</x:v>
      </x:c>
      <x:c r="H77" s="29" t="str">
        <x:v>Ask group administrators to invite a voluntary CRM profile update; avoid cold mass messaging</x:v>
      </x:c>
      <x:c r="I77" s="29" t="str">
        <x:v>Standard</x:v>
      </x:c>
      <x:c r="J77" s="29" t="str">
        <x:v>Not started</x:v>
      </x:c>
      <x:c r="K77" s="29" t="str">
        <x:v>Unassigned</x:v>
      </x:c>
      <x:c r="L77" s="29" t="str"/>
    </x:row>
    <x:row r="78">
      <x:c r="A78" s="30" t="n">
        <x:v>104</x:v>
      </x:c>
      <x:c r="B78" s="29" t="str">
        <x:v>+380 95 208 6511</x:v>
      </x:c>
      <x:c r="C78" s="29" t="str">
        <x:v>‎+380952086511</x:v>
      </x:c>
      <x:c r="D78" s="29" t="str">
        <x:v>Unidentified</x:v>
      </x:c>
      <x:c r="E78" s="29" t="str">
        <x:v>Unidentified number</x:v>
      </x:c>
      <x:c r="F78" s="29" t="str">
        <x:v>— / —</x:v>
      </x:c>
      <x:c r="G78" s="29" t="str">
        <x:v>Full name, organisation, role and relevance</x:v>
      </x:c>
      <x:c r="H78" s="29" t="str">
        <x:v>Ask group administrators to invite a voluntary CRM profile update; avoid cold mass messaging</x:v>
      </x:c>
      <x:c r="I78" s="29" t="str">
        <x:v>Standard</x:v>
      </x:c>
      <x:c r="J78" s="29" t="str">
        <x:v>Not started</x:v>
      </x:c>
      <x:c r="K78" s="29" t="str">
        <x:v>Unassigned</x:v>
      </x:c>
      <x:c r="L78" s="29" t="str"/>
    </x:row>
    <x:row r="79">
      <x:c r="A79" s="30" t="n">
        <x:v>105</x:v>
      </x:c>
      <x:c r="B79" s="29" t="str">
        <x:v>+380 50 595 5939</x:v>
      </x:c>
      <x:c r="C79" s="29" t="str">
        <x:v>‎+380505955939</x:v>
      </x:c>
      <x:c r="D79" s="29" t="str">
        <x:v>Unidentified</x:v>
      </x:c>
      <x:c r="E79" s="29" t="str">
        <x:v>Unidentified number</x:v>
      </x:c>
      <x:c r="F79" s="29" t="str">
        <x:v>— / —</x:v>
      </x:c>
      <x:c r="G79" s="29" t="str">
        <x:v>Full name, organisation, role and relevance</x:v>
      </x:c>
      <x:c r="H79" s="29" t="str">
        <x:v>Ask group administrators to invite a voluntary CRM profile update; avoid cold mass messaging</x:v>
      </x:c>
      <x:c r="I79" s="29" t="str">
        <x:v>Standard</x:v>
      </x:c>
      <x:c r="J79" s="29" t="str">
        <x:v>Not started</x:v>
      </x:c>
      <x:c r="K79" s="29" t="str">
        <x:v>Unassigned</x:v>
      </x:c>
      <x:c r="L79" s="29" t="str"/>
    </x:row>
    <x:row r="80">
      <x:c r="A80" s="30" t="n">
        <x:v>106</x:v>
      </x:c>
      <x:c r="B80" s="29" t="str">
        <x:v>+380 50 503 0405</x:v>
      </x:c>
      <x:c r="C80" s="29" t="str">
        <x:v>‎+380505030405</x:v>
      </x:c>
      <x:c r="D80" s="29" t="str">
        <x:v>Unidentified</x:v>
      </x:c>
      <x:c r="E80" s="29" t="str">
        <x:v>Unidentified number</x:v>
      </x:c>
      <x:c r="F80" s="29" t="str">
        <x:v>— / —</x:v>
      </x:c>
      <x:c r="G80" s="29" t="str">
        <x:v>Full name, organisation, role and relevance</x:v>
      </x:c>
      <x:c r="H80" s="29" t="str">
        <x:v>Ask group administrators to invite a voluntary CRM profile update; avoid cold mass messaging</x:v>
      </x:c>
      <x:c r="I80" s="29" t="str">
        <x:v>Standard</x:v>
      </x:c>
      <x:c r="J80" s="29" t="str">
        <x:v>Not started</x:v>
      </x:c>
      <x:c r="K80" s="29" t="str">
        <x:v>Unassigned</x:v>
      </x:c>
      <x:c r="L80" s="29" t="str"/>
    </x:row>
    <x:row r="81">
      <x:c r="A81" s="30" t="n">
        <x:v>107</x:v>
      </x:c>
      <x:c r="B81" s="29" t="str">
        <x:v>+380 50 263 1346</x:v>
      </x:c>
      <x:c r="C81" s="29" t="str">
        <x:v>‎+380502631346</x:v>
      </x:c>
      <x:c r="D81" s="29" t="str">
        <x:v>Unidentified</x:v>
      </x:c>
      <x:c r="E81" s="29" t="str">
        <x:v>Unidentified number</x:v>
      </x:c>
      <x:c r="F81" s="29" t="str">
        <x:v>— / —</x:v>
      </x:c>
      <x:c r="G81" s="29" t="str">
        <x:v>Full name, organisation, role and relevance</x:v>
      </x:c>
      <x:c r="H81" s="29" t="str">
        <x:v>Ask group administrators to invite a voluntary CRM profile update; avoid cold mass messaging</x:v>
      </x:c>
      <x:c r="I81" s="29" t="str">
        <x:v>Standard</x:v>
      </x:c>
      <x:c r="J81" s="29" t="str">
        <x:v>Not started</x:v>
      </x:c>
      <x:c r="K81" s="29" t="str">
        <x:v>Unassigned</x:v>
      </x:c>
      <x:c r="L81" s="29" t="str"/>
    </x:row>
    <x:row r="82">
      <x:c r="A82" s="30" t="n">
        <x:v>108</x:v>
      </x:c>
      <x:c r="B82" s="29" t="str">
        <x:v>+380 98 122 7516</x:v>
      </x:c>
      <x:c r="C82" s="29" t="str">
        <x:v>‎+380981227516</x:v>
      </x:c>
      <x:c r="D82" s="29" t="str">
        <x:v>Unidentified</x:v>
      </x:c>
      <x:c r="E82" s="29" t="str">
        <x:v>Unidentified number</x:v>
      </x:c>
      <x:c r="F82" s="29" t="str">
        <x:v>— / —</x:v>
      </x:c>
      <x:c r="G82" s="29" t="str">
        <x:v>Full name, organisation, role and relevance</x:v>
      </x:c>
      <x:c r="H82" s="29" t="str">
        <x:v>Ask group administrators to invite a voluntary CRM profile update; avoid cold mass messaging</x:v>
      </x:c>
      <x:c r="I82" s="29" t="str">
        <x:v>Standard</x:v>
      </x:c>
      <x:c r="J82" s="29" t="str">
        <x:v>Not started</x:v>
      </x:c>
      <x:c r="K82" s="29" t="str">
        <x:v>Unassigned</x:v>
      </x:c>
      <x:c r="L82" s="29" t="str"/>
    </x:row>
    <x:row r="83">
      <x:c r="A83" s="30" t="n">
        <x:v>109</x:v>
      </x:c>
      <x:c r="B83" s="29" t="str">
        <x:v>+380 63 673 4409</x:v>
      </x:c>
      <x:c r="C83" s="29" t="str">
        <x:v>‎+380636734409</x:v>
      </x:c>
      <x:c r="D83" s="29" t="str">
        <x:v>Unidentified</x:v>
      </x:c>
      <x:c r="E83" s="29" t="str">
        <x:v>Unidentified number</x:v>
      </x:c>
      <x:c r="F83" s="29" t="str">
        <x:v>— / —</x:v>
      </x:c>
      <x:c r="G83" s="29" t="str">
        <x:v>Full name, organisation, role and relevance</x:v>
      </x:c>
      <x:c r="H83" s="29" t="str">
        <x:v>Ask group administrators to invite a voluntary CRM profile update; avoid cold mass messaging</x:v>
      </x:c>
      <x:c r="I83" s="29" t="str">
        <x:v>Standard</x:v>
      </x:c>
      <x:c r="J83" s="29" t="str">
        <x:v>Not started</x:v>
      </x:c>
      <x:c r="K83" s="29" t="str">
        <x:v>Unassigned</x:v>
      </x:c>
      <x:c r="L83" s="29" t="str"/>
    </x:row>
    <x:row r="84">
      <x:c r="A84" s="30" t="n">
        <x:v>110</x:v>
      </x:c>
      <x:c r="B84" s="29" t="str">
        <x:v>+380 95 568 8235</x:v>
      </x:c>
      <x:c r="C84" s="29" t="str">
        <x:v>‎+380955688235</x:v>
      </x:c>
      <x:c r="D84" s="29" t="str">
        <x:v>Unidentified</x:v>
      </x:c>
      <x:c r="E84" s="29" t="str">
        <x:v>Unidentified number</x:v>
      </x:c>
      <x:c r="F84" s="29" t="str">
        <x:v>— / —</x:v>
      </x:c>
      <x:c r="G84" s="29" t="str">
        <x:v>Full name, organisation, role and relevance</x:v>
      </x:c>
      <x:c r="H84" s="29" t="str">
        <x:v>Ask group administrators to invite a voluntary CRM profile update; avoid cold mass messaging</x:v>
      </x:c>
      <x:c r="I84" s="29" t="str">
        <x:v>Standard</x:v>
      </x:c>
      <x:c r="J84" s="29" t="str">
        <x:v>Not started</x:v>
      </x:c>
      <x:c r="K84" s="29" t="str">
        <x:v>Unassigned</x:v>
      </x:c>
      <x:c r="L84" s="29" t="str"/>
    </x:row>
    <x:row r="85">
      <x:c r="A85" s="30" t="n">
        <x:v>111</x:v>
      </x:c>
      <x:c r="B85" s="29" t="str">
        <x:v>+380 67 219 9989</x:v>
      </x:c>
      <x:c r="C85" s="29" t="str">
        <x:v>‎+380672199989</x:v>
      </x:c>
      <x:c r="D85" s="29" t="str">
        <x:v>Unidentified</x:v>
      </x:c>
      <x:c r="E85" s="29" t="str">
        <x:v>Unidentified number</x:v>
      </x:c>
      <x:c r="F85" s="29" t="str">
        <x:v>— / —</x:v>
      </x:c>
      <x:c r="G85" s="29" t="str">
        <x:v>Full name, organisation, role and relevance</x:v>
      </x:c>
      <x:c r="H85" s="29" t="str">
        <x:v>Ask group administrators to invite a voluntary CRM profile update; avoid cold mass messaging</x:v>
      </x:c>
      <x:c r="I85" s="29" t="str">
        <x:v>Standard</x:v>
      </x:c>
      <x:c r="J85" s="29" t="str">
        <x:v>Not started</x:v>
      </x:c>
      <x:c r="K85" s="29" t="str">
        <x:v>Unassigned</x:v>
      </x:c>
      <x:c r="L85" s="29" t="str"/>
    </x:row>
    <x:row r="86">
      <x:c r="A86" s="30" t="n">
        <x:v>112</x:v>
      </x:c>
      <x:c r="B86" s="29" t="str">
        <x:v>+380 68 612 9814</x:v>
      </x:c>
      <x:c r="C86" s="29" t="str">
        <x:v>‎+380686129814</x:v>
      </x:c>
      <x:c r="D86" s="29" t="str">
        <x:v>Unidentified</x:v>
      </x:c>
      <x:c r="E86" s="29" t="str">
        <x:v>Unidentified number</x:v>
      </x:c>
      <x:c r="F86" s="29" t="str">
        <x:v>— / —</x:v>
      </x:c>
      <x:c r="G86" s="29" t="str">
        <x:v>Full name, organisation, role and relevance</x:v>
      </x:c>
      <x:c r="H86" s="29" t="str">
        <x:v>Ask group administrators to invite a voluntary CRM profile update; avoid cold mass messaging</x:v>
      </x:c>
      <x:c r="I86" s="29" t="str">
        <x:v>Standard</x:v>
      </x:c>
      <x:c r="J86" s="29" t="str">
        <x:v>Not started</x:v>
      </x:c>
      <x:c r="K86" s="29" t="str">
        <x:v>Unassigned</x:v>
      </x:c>
      <x:c r="L86" s="29" t="str"/>
    </x:row>
    <x:row r="87">
      <x:c r="A87" s="30" t="n">
        <x:v>113</x:v>
      </x:c>
      <x:c r="B87" s="29" t="str">
        <x:v>+380 95 229 8153</x:v>
      </x:c>
      <x:c r="C87" s="29" t="str">
        <x:v>‎+380952298153</x:v>
      </x:c>
      <x:c r="D87" s="29" t="str">
        <x:v>Unidentified</x:v>
      </x:c>
      <x:c r="E87" s="29" t="str">
        <x:v>Unidentified number</x:v>
      </x:c>
      <x:c r="F87" s="29" t="str">
        <x:v>— / —</x:v>
      </x:c>
      <x:c r="G87" s="29" t="str">
        <x:v>Full name, organisation, role and relevance</x:v>
      </x:c>
      <x:c r="H87" s="29" t="str">
        <x:v>Ask group administrators to invite a voluntary CRM profile update; avoid cold mass messaging</x:v>
      </x:c>
      <x:c r="I87" s="29" t="str">
        <x:v>Standard</x:v>
      </x:c>
      <x:c r="J87" s="29" t="str">
        <x:v>Not started</x:v>
      </x:c>
      <x:c r="K87" s="29" t="str">
        <x:v>Unassigned</x:v>
      </x:c>
      <x:c r="L87" s="29" t="str"/>
    </x:row>
    <x:row r="88">
      <x:c r="A88" s="30" t="n">
        <x:v>114</x:v>
      </x:c>
      <x:c r="B88" s="29" t="str">
        <x:v>+357 95 520350</x:v>
      </x:c>
      <x:c r="C88" s="29" t="str">
        <x:v>‎+35795520350</x:v>
      </x:c>
      <x:c r="D88" s="29" t="str">
        <x:v>Self-identified</x:v>
      </x:c>
      <x:c r="E88" s="29" t="str">
        <x:v>Matt Fensom</x:v>
      </x:c>
      <x:c r="F88" s="29" t="str">
        <x:v>Independent / former UK military / Former OF-5 UK military officer</x:v>
      </x:c>
      <x:c r="G88" s="29" t="str">
        <x:v>Current organisation, role and public-source confirmation</x:v>
      </x:c>
      <x:c r="H88" s="29" t="str">
        <x:v>Targeted public-source search, then consensual confirmation if needed</x:v>
      </x:c>
      <x:c r="I88" s="29" t="str">
        <x:v>Medium</x:v>
      </x:c>
      <x:c r="J88" s="29" t="str">
        <x:v>Not started</x:v>
      </x:c>
      <x:c r="K88" s="29" t="str">
        <x:v>Unassigned</x:v>
      </x:c>
      <x:c r="L88" s="29" t="str"/>
    </x:row>
    <x:row r="89">
      <x:c r="A89" s="30" t="n">
        <x:v>115</x:v>
      </x:c>
      <x:c r="B89" s="29" t="str">
        <x:v>+380 93 496 1719</x:v>
      </x:c>
      <x:c r="C89" s="29" t="str">
        <x:v>‎+380934961719</x:v>
      </x:c>
      <x:c r="D89" s="29" t="str">
        <x:v>Unidentified</x:v>
      </x:c>
      <x:c r="E89" s="29" t="str">
        <x:v>Unidentified number</x:v>
      </x:c>
      <x:c r="F89" s="29" t="str">
        <x:v>— / —</x:v>
      </x:c>
      <x:c r="G89" s="29" t="str">
        <x:v>Full name, organisation, role and relevance</x:v>
      </x:c>
      <x:c r="H89" s="29" t="str">
        <x:v>Ask group administrators to invite a voluntary CRM profile update; avoid cold mass messaging</x:v>
      </x:c>
      <x:c r="I89" s="29" t="str">
        <x:v>Standard</x:v>
      </x:c>
      <x:c r="J89" s="29" t="str">
        <x:v>Not started</x:v>
      </x:c>
      <x:c r="K89" s="29" t="str">
        <x:v>Unassigned</x:v>
      </x:c>
      <x:c r="L89" s="29" t="str"/>
    </x:row>
    <x:row r="90">
      <x:c r="A90" s="30" t="n">
        <x:v>116</x:v>
      </x:c>
      <x:c r="B90" s="29" t="str">
        <x:v>+380 98 557 2630</x:v>
      </x:c>
      <x:c r="C90" s="29" t="str">
        <x:v>‎+380985572630</x:v>
      </x:c>
      <x:c r="D90" s="29" t="str">
        <x:v>Unidentified</x:v>
      </x:c>
      <x:c r="E90" s="29" t="str">
        <x:v>Unidentified number</x:v>
      </x:c>
      <x:c r="F90" s="29" t="str">
        <x:v>— / —</x:v>
      </x:c>
      <x:c r="G90" s="29" t="str">
        <x:v>Full name, organisation, role and relevance</x:v>
      </x:c>
      <x:c r="H90" s="29" t="str">
        <x:v>Ask group administrators to invite a voluntary CRM profile update; avoid cold mass messaging</x:v>
      </x:c>
      <x:c r="I90" s="29" t="str">
        <x:v>Standard</x:v>
      </x:c>
      <x:c r="J90" s="29" t="str">
        <x:v>Not started</x:v>
      </x:c>
      <x:c r="K90" s="29" t="str">
        <x:v>Unassigned</x:v>
      </x:c>
      <x:c r="L90" s="29" t="str"/>
    </x:row>
    <x:row r="91">
      <x:c r="A91" s="30" t="n">
        <x:v>117</x:v>
      </x:c>
      <x:c r="B91" s="29" t="str">
        <x:v>+380 99 703 4196</x:v>
      </x:c>
      <x:c r="C91" s="29" t="str">
        <x:v>‎+380997034196</x:v>
      </x:c>
      <x:c r="D91" s="29" t="str">
        <x:v>Unidentified</x:v>
      </x:c>
      <x:c r="E91" s="29" t="str">
        <x:v>Unidentified number</x:v>
      </x:c>
      <x:c r="F91" s="29" t="str">
        <x:v>— / —</x:v>
      </x:c>
      <x:c r="G91" s="29" t="str">
        <x:v>Full name, organisation, role and relevance</x:v>
      </x:c>
      <x:c r="H91" s="29" t="str">
        <x:v>Ask group administrators to invite a voluntary CRM profile update; avoid cold mass messaging</x:v>
      </x:c>
      <x:c r="I91" s="29" t="str">
        <x:v>Standard</x:v>
      </x:c>
      <x:c r="J91" s="29" t="str">
        <x:v>Not started</x:v>
      </x:c>
      <x:c r="K91" s="29" t="str">
        <x:v>Unassigned</x:v>
      </x:c>
      <x:c r="L91" s="29" t="str"/>
    </x:row>
    <x:row r="92">
      <x:c r="A92" s="30" t="n">
        <x:v>118</x:v>
      </x:c>
      <x:c r="B92" s="29" t="str">
        <x:v>+380 99 355 7484</x:v>
      </x:c>
      <x:c r="C92" s="29" t="str">
        <x:v>‎+380993557484</x:v>
      </x:c>
      <x:c r="D92" s="29" t="str">
        <x:v>Unidentified</x:v>
      </x:c>
      <x:c r="E92" s="29" t="str">
        <x:v>Unidentified number</x:v>
      </x:c>
      <x:c r="F92" s="29" t="str">
        <x:v>— / —</x:v>
      </x:c>
      <x:c r="G92" s="29" t="str">
        <x:v>Full name, organisation, role and relevance</x:v>
      </x:c>
      <x:c r="H92" s="29" t="str">
        <x:v>Ask group administrators to invite a voluntary CRM profile update; avoid cold mass messaging</x:v>
      </x:c>
      <x:c r="I92" s="29" t="str">
        <x:v>Standard</x:v>
      </x:c>
      <x:c r="J92" s="29" t="str">
        <x:v>Not started</x:v>
      </x:c>
      <x:c r="K92" s="29" t="str">
        <x:v>Unassigned</x:v>
      </x:c>
      <x:c r="L92" s="29" t="str"/>
    </x:row>
    <x:row r="93">
      <x:c r="A93" s="30" t="n">
        <x:v>119</x:v>
      </x:c>
      <x:c r="B93" s="29" t="str">
        <x:v>+380 50 859 5723</x:v>
      </x:c>
      <x:c r="C93" s="29" t="str">
        <x:v>‎+380508595723</x:v>
      </x:c>
      <x:c r="D93" s="29" t="str">
        <x:v>Unidentified</x:v>
      </x:c>
      <x:c r="E93" s="29" t="str">
        <x:v>Unidentified number</x:v>
      </x:c>
      <x:c r="F93" s="29" t="str">
        <x:v>— / —</x:v>
      </x:c>
      <x:c r="G93" s="29" t="str">
        <x:v>Full name, organisation, role and relevance</x:v>
      </x:c>
      <x:c r="H93" s="29" t="str">
        <x:v>Ask group administrators to invite a voluntary CRM profile update; avoid cold mass messaging</x:v>
      </x:c>
      <x:c r="I93" s="29" t="str">
        <x:v>Standard</x:v>
      </x:c>
      <x:c r="J93" s="29" t="str">
        <x:v>Not started</x:v>
      </x:c>
      <x:c r="K93" s="29" t="str">
        <x:v>Unassigned</x:v>
      </x:c>
      <x:c r="L93" s="29" t="str"/>
    </x:row>
    <x:row r="94">
      <x:c r="A94" s="30" t="n">
        <x:v>120</x:v>
      </x:c>
      <x:c r="B94" s="29" t="str">
        <x:v>+380 63 668 5242</x:v>
      </x:c>
      <x:c r="C94" s="29" t="str">
        <x:v>‎+380636685242</x:v>
      </x:c>
      <x:c r="D94" s="29" t="str">
        <x:v>Unidentified</x:v>
      </x:c>
      <x:c r="E94" s="29" t="str">
        <x:v>Unidentified number</x:v>
      </x:c>
      <x:c r="F94" s="29" t="str">
        <x:v>— / —</x:v>
      </x:c>
      <x:c r="G94" s="29" t="str">
        <x:v>Full name, organisation, role and relevance</x:v>
      </x:c>
      <x:c r="H94" s="29" t="str">
        <x:v>Ask group administrators to invite a voluntary CRM profile update; avoid cold mass messaging</x:v>
      </x:c>
      <x:c r="I94" s="29" t="str">
        <x:v>Standard</x:v>
      </x:c>
      <x:c r="J94" s="29" t="str">
        <x:v>Not started</x:v>
      </x:c>
      <x:c r="K94" s="29" t="str">
        <x:v>Unassigned</x:v>
      </x:c>
      <x:c r="L94" s="29" t="str"/>
    </x:row>
    <x:row r="95">
      <x:c r="A95" s="30" t="n">
        <x:v>121</x:v>
      </x:c>
      <x:c r="B95" s="29" t="str">
        <x:v>+380 67 231 6465</x:v>
      </x:c>
      <x:c r="C95" s="29" t="str">
        <x:v>‎+380672316465</x:v>
      </x:c>
      <x:c r="D95" s="29" t="str">
        <x:v>Unidentified</x:v>
      </x:c>
      <x:c r="E95" s="29" t="str">
        <x:v>Unidentified number</x:v>
      </x:c>
      <x:c r="F95" s="29" t="str">
        <x:v>— / —</x:v>
      </x:c>
      <x:c r="G95" s="29" t="str">
        <x:v>Full name, organisation, role and relevance</x:v>
      </x:c>
      <x:c r="H95" s="29" t="str">
        <x:v>Ask group administrators to invite a voluntary CRM profile update; avoid cold mass messaging</x:v>
      </x:c>
      <x:c r="I95" s="29" t="str">
        <x:v>Standard</x:v>
      </x:c>
      <x:c r="J95" s="29" t="str">
        <x:v>Not started</x:v>
      </x:c>
      <x:c r="K95" s="29" t="str">
        <x:v>Unassigned</x:v>
      </x:c>
      <x:c r="L95" s="29" t="str"/>
    </x:row>
    <x:row r="96">
      <x:c r="A96" s="30" t="n">
        <x:v>122</x:v>
      </x:c>
      <x:c r="B96" s="29" t="str">
        <x:v>+380 66 212 9402</x:v>
      </x:c>
      <x:c r="C96" s="29" t="str">
        <x:v>‎+380662129402</x:v>
      </x:c>
      <x:c r="D96" s="29" t="str">
        <x:v>Unidentified</x:v>
      </x:c>
      <x:c r="E96" s="29" t="str">
        <x:v>Unidentified number</x:v>
      </x:c>
      <x:c r="F96" s="29" t="str">
        <x:v>— / —</x:v>
      </x:c>
      <x:c r="G96" s="29" t="str">
        <x:v>Full name, organisation, role and relevance</x:v>
      </x:c>
      <x:c r="H96" s="29" t="str">
        <x:v>Ask group administrators to invite a voluntary CRM profile update; avoid cold mass messaging</x:v>
      </x:c>
      <x:c r="I96" s="29" t="str">
        <x:v>Standard</x:v>
      </x:c>
      <x:c r="J96" s="29" t="str">
        <x:v>Not started</x:v>
      </x:c>
      <x:c r="K96" s="29" t="str">
        <x:v>Unassigned</x:v>
      </x:c>
      <x:c r="L96" s="29" t="str"/>
    </x:row>
    <x:row r="97">
      <x:c r="A97" s="30" t="n">
        <x:v>123</x:v>
      </x:c>
      <x:c r="B97" s="29" t="str">
        <x:v>+380 98 002 7282</x:v>
      </x:c>
      <x:c r="C97" s="29" t="str">
        <x:v>‎+380980027282</x:v>
      </x:c>
      <x:c r="D97" s="29" t="str">
        <x:v>Unidentified</x:v>
      </x:c>
      <x:c r="E97" s="29" t="str">
        <x:v>Unidentified number</x:v>
      </x:c>
      <x:c r="F97" s="29" t="str">
        <x:v>— / —</x:v>
      </x:c>
      <x:c r="G97" s="29" t="str">
        <x:v>Full name, organisation, role and relevance</x:v>
      </x:c>
      <x:c r="H97" s="29" t="str">
        <x:v>Ask group administrators to invite a voluntary CRM profile update; avoid cold mass messaging</x:v>
      </x:c>
      <x:c r="I97" s="29" t="str">
        <x:v>Standard</x:v>
      </x:c>
      <x:c r="J97" s="29" t="str">
        <x:v>Not started</x:v>
      </x:c>
      <x:c r="K97" s="29" t="str">
        <x:v>Unassigned</x:v>
      </x:c>
      <x:c r="L97" s="29" t="str"/>
    </x:row>
    <x:row r="98">
      <x:c r="A98" s="30" t="n">
        <x:v>124</x:v>
      </x:c>
      <x:c r="B98" s="29" t="str">
        <x:v>+380 50 887 8346</x:v>
      </x:c>
      <x:c r="C98" s="29" t="str">
        <x:v>‎+380508878346</x:v>
      </x:c>
      <x:c r="D98" s="29" t="str">
        <x:v>Unidentified</x:v>
      </x:c>
      <x:c r="E98" s="29" t="str">
        <x:v>Unidentified number</x:v>
      </x:c>
      <x:c r="F98" s="29" t="str">
        <x:v>— / —</x:v>
      </x:c>
      <x:c r="G98" s="29" t="str">
        <x:v>Full name, organisation, role and relevance</x:v>
      </x:c>
      <x:c r="H98" s="29" t="str">
        <x:v>Ask group administrators to invite a voluntary CRM profile update; avoid cold mass messaging</x:v>
      </x:c>
      <x:c r="I98" s="29" t="str">
        <x:v>Standard</x:v>
      </x:c>
      <x:c r="J98" s="29" t="str">
        <x:v>Not started</x:v>
      </x:c>
      <x:c r="K98" s="29" t="str">
        <x:v>Unassigned</x:v>
      </x:c>
      <x:c r="L98" s="29" t="str"/>
    </x:row>
    <x:row r="99">
      <x:c r="A99" s="30" t="n">
        <x:v>125</x:v>
      </x:c>
      <x:c r="B99" s="29" t="str">
        <x:v>+380 93 788 4994</x:v>
      </x:c>
      <x:c r="C99" s="29" t="str">
        <x:v>‎+380937884994</x:v>
      </x:c>
      <x:c r="D99" s="29" t="str">
        <x:v>Unidentified</x:v>
      </x:c>
      <x:c r="E99" s="29" t="str">
        <x:v>Unidentified number</x:v>
      </x:c>
      <x:c r="F99" s="29" t="str">
        <x:v>— / —</x:v>
      </x:c>
      <x:c r="G99" s="29" t="str">
        <x:v>Full name, organisation, role and relevance</x:v>
      </x:c>
      <x:c r="H99" s="29" t="str">
        <x:v>Ask group administrators to invite a voluntary CRM profile update; avoid cold mass messaging</x:v>
      </x:c>
      <x:c r="I99" s="29" t="str">
        <x:v>Standard</x:v>
      </x:c>
      <x:c r="J99" s="29" t="str">
        <x:v>Not started</x:v>
      </x:c>
      <x:c r="K99" s="29" t="str">
        <x:v>Unassigned</x:v>
      </x:c>
      <x:c r="L99" s="29" t="str"/>
    </x:row>
    <x:row r="100">
      <x:c r="A100" s="30" t="n">
        <x:v>126</x:v>
      </x:c>
      <x:c r="B100" s="29" t="str">
        <x:v>+380 93 291 1754</x:v>
      </x:c>
      <x:c r="C100" s="29" t="str">
        <x:v>‎+380932911754</x:v>
      </x:c>
      <x:c r="D100" s="29" t="str">
        <x:v>Unidentified</x:v>
      </x:c>
      <x:c r="E100" s="29" t="str">
        <x:v>Unidentified number</x:v>
      </x:c>
      <x:c r="F100" s="29" t="str">
        <x:v>— / —</x:v>
      </x:c>
      <x:c r="G100" s="29" t="str">
        <x:v>Full name, organisation, role and relevance</x:v>
      </x:c>
      <x:c r="H100" s="29" t="str">
        <x:v>Ask group administrators to invite a voluntary CRM profile update; avoid cold mass messaging</x:v>
      </x:c>
      <x:c r="I100" s="29" t="str">
        <x:v>Standard</x:v>
      </x:c>
      <x:c r="J100" s="29" t="str">
        <x:v>Not started</x:v>
      </x:c>
      <x:c r="K100" s="29" t="str">
        <x:v>Unassigned</x:v>
      </x:c>
      <x:c r="L100" s="29" t="str"/>
    </x:row>
    <x:row r="101">
      <x:c r="A101" s="30" t="n">
        <x:v>127</x:v>
      </x:c>
      <x:c r="B101" s="29" t="str">
        <x:v>+380 50 447 2238</x:v>
      </x:c>
      <x:c r="C101" s="29" t="str">
        <x:v>‎+380504472238</x:v>
      </x:c>
      <x:c r="D101" s="29" t="str">
        <x:v>Unidentified</x:v>
      </x:c>
      <x:c r="E101" s="29" t="str">
        <x:v>Unidentified number</x:v>
      </x:c>
      <x:c r="F101" s="29" t="str">
        <x:v>— / —</x:v>
      </x:c>
      <x:c r="G101" s="29" t="str">
        <x:v>Full name, organisation, role and relevance</x:v>
      </x:c>
      <x:c r="H101" s="29" t="str">
        <x:v>Ask group administrators to invite a voluntary CRM profile update; avoid cold mass messaging</x:v>
      </x:c>
      <x:c r="I101" s="29" t="str">
        <x:v>Standard</x:v>
      </x:c>
      <x:c r="J101" s="29" t="str">
        <x:v>Not started</x:v>
      </x:c>
      <x:c r="K101" s="29" t="str">
        <x:v>Unassigned</x:v>
      </x:c>
      <x:c r="L101" s="29" t="str"/>
    </x:row>
    <x:row r="102">
      <x:c r="A102" s="30" t="n">
        <x:v>128</x:v>
      </x:c>
      <x:c r="B102" s="29" t="str">
        <x:v>+380 98 514 5452</x:v>
      </x:c>
      <x:c r="C102" s="29" t="str">
        <x:v>‎+380985145452</x:v>
      </x:c>
      <x:c r="D102" s="29" t="str">
        <x:v>Unidentified</x:v>
      </x:c>
      <x:c r="E102" s="29" t="str">
        <x:v>Unidentified number</x:v>
      </x:c>
      <x:c r="F102" s="29" t="str">
        <x:v>— / —</x:v>
      </x:c>
      <x:c r="G102" s="29" t="str">
        <x:v>Full name, organisation, role and relevance</x:v>
      </x:c>
      <x:c r="H102" s="29" t="str">
        <x:v>Ask group administrators to invite a voluntary CRM profile update; avoid cold mass messaging</x:v>
      </x:c>
      <x:c r="I102" s="29" t="str">
        <x:v>Standard</x:v>
      </x:c>
      <x:c r="J102" s="29" t="str">
        <x:v>Not started</x:v>
      </x:c>
      <x:c r="K102" s="29" t="str">
        <x:v>Unassigned</x:v>
      </x:c>
      <x:c r="L102" s="29" t="str"/>
    </x:row>
    <x:row r="103">
      <x:c r="A103" s="30" t="n">
        <x:v>129</x:v>
      </x:c>
      <x:c r="B103" s="29" t="str">
        <x:v>+380 66 073 9388</x:v>
      </x:c>
      <x:c r="C103" s="29" t="str">
        <x:v>‎+380660739388</x:v>
      </x:c>
      <x:c r="D103" s="29" t="str">
        <x:v>Unidentified</x:v>
      </x:c>
      <x:c r="E103" s="29" t="str">
        <x:v>Unidentified number</x:v>
      </x:c>
      <x:c r="F103" s="29" t="str">
        <x:v>— / —</x:v>
      </x:c>
      <x:c r="G103" s="29" t="str">
        <x:v>Full name, organisation, role and relevance</x:v>
      </x:c>
      <x:c r="H103" s="29" t="str">
        <x:v>Ask group administrators to invite a voluntary CRM profile update; avoid cold mass messaging</x:v>
      </x:c>
      <x:c r="I103" s="29" t="str">
        <x:v>Standard</x:v>
      </x:c>
      <x:c r="J103" s="29" t="str">
        <x:v>Not started</x:v>
      </x:c>
      <x:c r="K103" s="29" t="str">
        <x:v>Unassigned</x:v>
      </x:c>
      <x:c r="L103" s="29" t="str"/>
    </x:row>
    <x:row r="104">
      <x:c r="A104" s="30" t="n">
        <x:v>130</x:v>
      </x:c>
      <x:c r="B104" s="29" t="str">
        <x:v>+380 99 164 4898</x:v>
      </x:c>
      <x:c r="C104" s="29" t="str">
        <x:v>‎+380991644898</x:v>
      </x:c>
      <x:c r="D104" s="29" t="str">
        <x:v>Unidentified</x:v>
      </x:c>
      <x:c r="E104" s="29" t="str">
        <x:v>Unidentified number</x:v>
      </x:c>
      <x:c r="F104" s="29" t="str">
        <x:v>— / —</x:v>
      </x:c>
      <x:c r="G104" s="29" t="str">
        <x:v>Full name, organisation, role and relevance</x:v>
      </x:c>
      <x:c r="H104" s="29" t="str">
        <x:v>Ask group administrators to invite a voluntary CRM profile update; avoid cold mass messaging</x:v>
      </x:c>
      <x:c r="I104" s="29" t="str">
        <x:v>Standard</x:v>
      </x:c>
      <x:c r="J104" s="29" t="str">
        <x:v>Not started</x:v>
      </x:c>
      <x:c r="K104" s="29" t="str">
        <x:v>Unassigned</x:v>
      </x:c>
      <x:c r="L104" s="29" t="str"/>
    </x:row>
    <x:row r="105">
      <x:c r="A105" s="30" t="n">
        <x:v>131</x:v>
      </x:c>
      <x:c r="B105" s="29" t="str">
        <x:v>+380 93 035 5285</x:v>
      </x:c>
      <x:c r="C105" s="29" t="str">
        <x:v>‎+380930355285</x:v>
      </x:c>
      <x:c r="D105" s="29" t="str">
        <x:v>Unidentified</x:v>
      </x:c>
      <x:c r="E105" s="29" t="str">
        <x:v>Unidentified number</x:v>
      </x:c>
      <x:c r="F105" s="29" t="str">
        <x:v>— / —</x:v>
      </x:c>
      <x:c r="G105" s="29" t="str">
        <x:v>Full name, organisation, role and relevance</x:v>
      </x:c>
      <x:c r="H105" s="29" t="str">
        <x:v>Ask group administrators to invite a voluntary CRM profile update; avoid cold mass messaging</x:v>
      </x:c>
      <x:c r="I105" s="29" t="str">
        <x:v>Standard</x:v>
      </x:c>
      <x:c r="J105" s="29" t="str">
        <x:v>Not started</x:v>
      </x:c>
      <x:c r="K105" s="29" t="str">
        <x:v>Unassigned</x:v>
      </x:c>
      <x:c r="L105" s="29" t="str"/>
    </x:row>
    <x:row r="106">
      <x:c r="A106" s="30" t="n">
        <x:v>132</x:v>
      </x:c>
      <x:c r="B106" s="29" t="str">
        <x:v>+380 66 634 4773</x:v>
      </x:c>
      <x:c r="C106" s="29" t="str">
        <x:v>‎+380666344773</x:v>
      </x:c>
      <x:c r="D106" s="29" t="str">
        <x:v>Unidentified</x:v>
      </x:c>
      <x:c r="E106" s="29" t="str">
        <x:v>Unidentified number</x:v>
      </x:c>
      <x:c r="F106" s="29" t="str">
        <x:v>— / —</x:v>
      </x:c>
      <x:c r="G106" s="29" t="str">
        <x:v>Full name, organisation, role and relevance</x:v>
      </x:c>
      <x:c r="H106" s="29" t="str">
        <x:v>Ask group administrators to invite a voluntary CRM profile update; avoid cold mass messaging</x:v>
      </x:c>
      <x:c r="I106" s="29" t="str">
        <x:v>Standard</x:v>
      </x:c>
      <x:c r="J106" s="29" t="str">
        <x:v>Not started</x:v>
      </x:c>
      <x:c r="K106" s="29" t="str">
        <x:v>Unassigned</x:v>
      </x:c>
      <x:c r="L106" s="29" t="str"/>
    </x:row>
    <x:row r="107">
      <x:c r="A107" s="30" t="n">
        <x:v>133</x:v>
      </x:c>
      <x:c r="B107" s="29" t="str">
        <x:v>+380 97 470 4600</x:v>
      </x:c>
      <x:c r="C107" s="29" t="str">
        <x:v>‎+380974704600</x:v>
      </x:c>
      <x:c r="D107" s="29" t="str">
        <x:v>Unidentified</x:v>
      </x:c>
      <x:c r="E107" s="29" t="str">
        <x:v>Unidentified number</x:v>
      </x:c>
      <x:c r="F107" s="29" t="str">
        <x:v>— / —</x:v>
      </x:c>
      <x:c r="G107" s="29" t="str">
        <x:v>Full name, organisation, role and relevance</x:v>
      </x:c>
      <x:c r="H107" s="29" t="str">
        <x:v>Ask group administrators to invite a voluntary CRM profile update; avoid cold mass messaging</x:v>
      </x:c>
      <x:c r="I107" s="29" t="str">
        <x:v>Standard</x:v>
      </x:c>
      <x:c r="J107" s="29" t="str">
        <x:v>Not started</x:v>
      </x:c>
      <x:c r="K107" s="29" t="str">
        <x:v>Unassigned</x:v>
      </x:c>
      <x:c r="L107" s="29" t="str"/>
    </x:row>
    <x:row r="108">
      <x:c r="A108" s="30" t="n">
        <x:v>134</x:v>
      </x:c>
      <x:c r="B108" s="29" t="str">
        <x:v>+380 98 799 7644</x:v>
      </x:c>
      <x:c r="C108" s="29" t="str">
        <x:v>‎+380987997644</x:v>
      </x:c>
      <x:c r="D108" s="29" t="str">
        <x:v>Unidentified</x:v>
      </x:c>
      <x:c r="E108" s="29" t="str">
        <x:v>Unidentified number</x:v>
      </x:c>
      <x:c r="F108" s="29" t="str">
        <x:v>— / —</x:v>
      </x:c>
      <x:c r="G108" s="29" t="str">
        <x:v>Full name, organisation, role and relevance</x:v>
      </x:c>
      <x:c r="H108" s="29" t="str">
        <x:v>Ask group administrators to invite a voluntary CRM profile update; avoid cold mass messaging</x:v>
      </x:c>
      <x:c r="I108" s="29" t="str">
        <x:v>Standard</x:v>
      </x:c>
      <x:c r="J108" s="29" t="str">
        <x:v>Not started</x:v>
      </x:c>
      <x:c r="K108" s="29" t="str">
        <x:v>Unassigned</x:v>
      </x:c>
      <x:c r="L108" s="29" t="str"/>
    </x:row>
    <x:row r="109">
      <x:c r="A109" s="30" t="n">
        <x:v>135</x:v>
      </x:c>
      <x:c r="B109" s="29" t="str">
        <x:v>+380 50 775 3541</x:v>
      </x:c>
      <x:c r="C109" s="29" t="str">
        <x:v>‎+380507753541</x:v>
      </x:c>
      <x:c r="D109" s="29" t="str">
        <x:v>Unidentified</x:v>
      </x:c>
      <x:c r="E109" s="29" t="str">
        <x:v>Unidentified number</x:v>
      </x:c>
      <x:c r="F109" s="29" t="str">
        <x:v>— / —</x:v>
      </x:c>
      <x:c r="G109" s="29" t="str">
        <x:v>Full name, organisation, role and relevance</x:v>
      </x:c>
      <x:c r="H109" s="29" t="str">
        <x:v>Ask group administrators to invite a voluntary CRM profile update; avoid cold mass messaging</x:v>
      </x:c>
      <x:c r="I109" s="29" t="str">
        <x:v>Standard</x:v>
      </x:c>
      <x:c r="J109" s="29" t="str">
        <x:v>Not started</x:v>
      </x:c>
      <x:c r="K109" s="29" t="str">
        <x:v>Unassigned</x:v>
      </x:c>
      <x:c r="L109" s="29" t="str"/>
    </x:row>
    <x:row r="110">
      <x:c r="A110" s="30" t="n">
        <x:v>136</x:v>
      </x:c>
      <x:c r="B110" s="29" t="str">
        <x:v>+380 50 959 6695</x:v>
      </x:c>
      <x:c r="C110" s="29" t="str">
        <x:v>‎+380509596695</x:v>
      </x:c>
      <x:c r="D110" s="29" t="str">
        <x:v>Unidentified</x:v>
      </x:c>
      <x:c r="E110" s="29" t="str">
        <x:v>Unidentified number</x:v>
      </x:c>
      <x:c r="F110" s="29" t="str">
        <x:v>— / —</x:v>
      </x:c>
      <x:c r="G110" s="29" t="str">
        <x:v>Full name, organisation, role and relevance</x:v>
      </x:c>
      <x:c r="H110" s="29" t="str">
        <x:v>Ask group administrators to invite a voluntary CRM profile update; avoid cold mass messaging</x:v>
      </x:c>
      <x:c r="I110" s="29" t="str">
        <x:v>Standard</x:v>
      </x:c>
      <x:c r="J110" s="29" t="str">
        <x:v>Not started</x:v>
      </x:c>
      <x:c r="K110" s="29" t="str">
        <x:v>Unassigned</x:v>
      </x:c>
      <x:c r="L110" s="29" t="str"/>
    </x:row>
    <x:row r="111">
      <x:c r="A111" s="30" t="n">
        <x:v>137</x:v>
      </x:c>
      <x:c r="B111" s="29" t="str">
        <x:v>+380 93 568 1317</x:v>
      </x:c>
      <x:c r="C111" s="29" t="str">
        <x:v>‎+380935681317</x:v>
      </x:c>
      <x:c r="D111" s="29" t="str">
        <x:v>Unidentified</x:v>
      </x:c>
      <x:c r="E111" s="29" t="str">
        <x:v>Unidentified number</x:v>
      </x:c>
      <x:c r="F111" s="29" t="str">
        <x:v>— / —</x:v>
      </x:c>
      <x:c r="G111" s="29" t="str">
        <x:v>Full name, organisation, role and relevance</x:v>
      </x:c>
      <x:c r="H111" s="29" t="str">
        <x:v>Ask group administrators to invite a voluntary CRM profile update; avoid cold mass messaging</x:v>
      </x:c>
      <x:c r="I111" s="29" t="str">
        <x:v>Standard</x:v>
      </x:c>
      <x:c r="J111" s="29" t="str">
        <x:v>Not started</x:v>
      </x:c>
      <x:c r="K111" s="29" t="str">
        <x:v>Unassigned</x:v>
      </x:c>
      <x:c r="L111" s="29" t="str"/>
    </x:row>
    <x:row r="112">
      <x:c r="A112" s="30" t="n">
        <x:v>138</x:v>
      </x:c>
      <x:c r="B112" s="29" t="str">
        <x:v>Anastasia</x:v>
      </x:c>
      <x:c r="C112" s="29" t="str">
        <x:v>‎+380984014020</x:v>
      </x:c>
      <x:c r="D112" s="29" t="str">
        <x:v>Partial</x:v>
      </x:c>
      <x:c r="E112" s="29" t="str">
        <x:v>Anastasia (surname unknown)</x:v>
      </x:c>
      <x:c r="F112" s="29" t="str">
        <x:v>— / —</x:v>
      </x:c>
      <x:c r="G112" s="29" t="str">
        <x:v>Surname / exact identity and public professional profile</x:v>
      </x:c>
      <x:c r="H112" s="29" t="str">
        <x:v>Targeted public-source search, then consensual confirmation if needed</x:v>
      </x:c>
      <x:c r="I112" s="29" t="str">
        <x:v>Standard</x:v>
      </x:c>
      <x:c r="J112" s="29" t="str">
        <x:v>Not started</x:v>
      </x:c>
      <x:c r="K112" s="29" t="str">
        <x:v>Unassigned</x:v>
      </x:c>
      <x:c r="L112" s="29" t="str"/>
    </x:row>
    <x:row r="113">
      <x:c r="A113" s="30" t="n">
        <x:v>140</x:v>
      </x:c>
      <x:c r="B113" s="29" t="str">
        <x:v>Anatolii</x:v>
      </x:c>
      <x:c r="C113" s="29" t="str">
        <x:v>‎+380503322791</x:v>
      </x:c>
      <x:c r="D113" s="29" t="str">
        <x:v>Partial</x:v>
      </x:c>
      <x:c r="E113" s="29" t="str">
        <x:v>Anatolii (surname unknown)</x:v>
      </x:c>
      <x:c r="F113" s="29" t="str">
        <x:v>— / —</x:v>
      </x:c>
      <x:c r="G113" s="29" t="str">
        <x:v>Surname / exact identity and public professional profile</x:v>
      </x:c>
      <x:c r="H113" s="29" t="str">
        <x:v>Targeted public-source search, then consensual confirmation if needed</x:v>
      </x:c>
      <x:c r="I113" s="29" t="str">
        <x:v>Standard</x:v>
      </x:c>
      <x:c r="J113" s="29" t="str">
        <x:v>Not started</x:v>
      </x:c>
      <x:c r="K113" s="29" t="str">
        <x:v>Unassigned</x:v>
      </x:c>
      <x:c r="L113" s="29" t="str"/>
    </x:row>
    <x:row r="114">
      <x:c r="A114" s="30" t="n">
        <x:v>142</x:v>
      </x:c>
      <x:c r="B114" s="29" t="str">
        <x:v>Andrii S</x:v>
      </x:c>
      <x:c r="C114" s="29" t="str">
        <x:v>‎+380982519869</x:v>
      </x:c>
      <x:c r="D114" s="29" t="str">
        <x:v>Self-identified</x:v>
      </x:c>
      <x:c r="E114" s="29" t="str">
        <x:v>Andrii S (surname unresolved)</x:v>
      </x:c>
      <x:c r="F114" s="29" t="str">
        <x:v>— / —</x:v>
      </x:c>
      <x:c r="G114" s="29" t="str">
        <x:v>Current organisation, role and public-source confirmation</x:v>
      </x:c>
      <x:c r="H114" s="29" t="str">
        <x:v>Targeted public-source search, then consensual confirmation if needed</x:v>
      </x:c>
      <x:c r="I114" s="29" t="str">
        <x:v>Standard</x:v>
      </x:c>
      <x:c r="J114" s="29" t="str">
        <x:v>Not started</x:v>
      </x:c>
      <x:c r="K114" s="29" t="str">
        <x:v>Unassigned</x:v>
      </x:c>
      <x:c r="L114" s="29" t="str"/>
    </x:row>
    <x:row r="115">
      <x:c r="A115" s="30" t="n">
        <x:v>143</x:v>
      </x:c>
      <x:c r="B115" s="29" t="str">
        <x:v>Anja</x:v>
      </x:c>
      <x:c r="C115" s="29" t="str">
        <x:v>‎+19039489409</x:v>
      </x:c>
      <x:c r="D115" s="29" t="str">
        <x:v>Partial</x:v>
      </x:c>
      <x:c r="E115" s="29" t="str">
        <x:v>Anja (surname unknown)</x:v>
      </x:c>
      <x:c r="F115" s="29" t="str">
        <x:v>— / —</x:v>
      </x:c>
      <x:c r="G115" s="29" t="str">
        <x:v>Surname / exact identity and public professional profile</x:v>
      </x:c>
      <x:c r="H115" s="29" t="str">
        <x:v>Targeted public-source search, then consensual confirmation if needed</x:v>
      </x:c>
      <x:c r="I115" s="29" t="str">
        <x:v>Standard</x:v>
      </x:c>
      <x:c r="J115" s="29" t="str">
        <x:v>Not started</x:v>
      </x:c>
      <x:c r="K115" s="29" t="str">
        <x:v>Unassigned</x:v>
      </x:c>
      <x:c r="L115" s="29" t="str"/>
    </x:row>
    <x:row r="116">
      <x:c r="A116" s="30" t="n">
        <x:v>144</x:v>
      </x:c>
      <x:c r="B116" s="29" t="str">
        <x:v>Anya</x:v>
      </x:c>
      <x:c r="C116" s="29" t="str">
        <x:v>‎+380937531827</x:v>
      </x:c>
      <x:c r="D116" s="29" t="str">
        <x:v>Partial</x:v>
      </x:c>
      <x:c r="E116" s="29" t="str">
        <x:v>Anya (surname unknown)</x:v>
      </x:c>
      <x:c r="F116" s="29" t="str">
        <x:v>— / —</x:v>
      </x:c>
      <x:c r="G116" s="29" t="str">
        <x:v>Surname / exact identity and public professional profile</x:v>
      </x:c>
      <x:c r="H116" s="29" t="str">
        <x:v>Targeted public-source search, then consensual confirmation if needed</x:v>
      </x:c>
      <x:c r="I116" s="29" t="str">
        <x:v>Standard</x:v>
      </x:c>
      <x:c r="J116" s="29" t="str">
        <x:v>Not started</x:v>
      </x:c>
      <x:c r="K116" s="29" t="str">
        <x:v>Unassigned</x:v>
      </x:c>
      <x:c r="L116" s="29" t="str"/>
    </x:row>
    <x:row r="117">
      <x:c r="A117" s="30" t="n">
        <x:v>145</x:v>
      </x:c>
      <x:c r="B117" s="29" t="str">
        <x:v>At your service, Sort Of.</x:v>
      </x:c>
      <x:c r="C117" s="29" t="str">
        <x:v>‎+380974302329</x:v>
      </x:c>
      <x:c r="D117" s="29" t="str">
        <x:v>Partial</x:v>
      </x:c>
      <x:c r="E117" s="29" t="str">
        <x:v>Identity unresolved</x:v>
      </x:c>
      <x:c r="F117" s="29" t="str">
        <x:v>— / —</x:v>
      </x:c>
      <x:c r="G117" s="29" t="str">
        <x:v>Surname / exact identity and public professional profile</x:v>
      </x:c>
      <x:c r="H117" s="29" t="str">
        <x:v>Targeted public-source search, then consensual confirmation if needed</x:v>
      </x:c>
      <x:c r="I117" s="29" t="str">
        <x:v>Standard</x:v>
      </x:c>
      <x:c r="J117" s="29" t="str">
        <x:v>Not started</x:v>
      </x:c>
      <x:c r="K117" s="29" t="str">
        <x:v>Unassigned</x:v>
      </x:c>
      <x:c r="L117" s="29" t="str"/>
    </x:row>
    <x:row r="118">
      <x:c r="A118" s="30" t="n">
        <x:v>146</x:v>
      </x:c>
      <x:c r="B118" s="29" t="str">
        <x:v>B.K</x:v>
      </x:c>
      <x:c r="C118" s="29" t="str">
        <x:v>‎+380661079064</x:v>
      </x:c>
      <x:c r="D118" s="29" t="str">
        <x:v>Partial</x:v>
      </x:c>
      <x:c r="E118" s="29" t="str">
        <x:v>B.K (identity unresolved)</x:v>
      </x:c>
      <x:c r="F118" s="29" t="str">
        <x:v>— / —</x:v>
      </x:c>
      <x:c r="G118" s="29" t="str">
        <x:v>Surname / exact identity and public professional profile</x:v>
      </x:c>
      <x:c r="H118" s="29" t="str">
        <x:v>Targeted public-source search, then consensual confirmation if needed</x:v>
      </x:c>
      <x:c r="I118" s="29" t="str">
        <x:v>Standard</x:v>
      </x:c>
      <x:c r="J118" s="29" t="str">
        <x:v>Not started</x:v>
      </x:c>
      <x:c r="K118" s="29" t="str">
        <x:v>Unassigned</x:v>
      </x:c>
      <x:c r="L118" s="29" t="str"/>
    </x:row>
    <x:row r="119">
      <x:c r="A119" s="30" t="n">
        <x:v>147</x:v>
      </x:c>
      <x:c r="B119" s="29" t="str">
        <x:v>Bogdan 😎</x:v>
      </x:c>
      <x:c r="C119" s="29" t="str">
        <x:v>‎+380938843850</x:v>
      </x:c>
      <x:c r="D119" s="29" t="str">
        <x:v>Partial</x:v>
      </x:c>
      <x:c r="E119" s="29" t="str">
        <x:v>Bogdan (surname unknown)</x:v>
      </x:c>
      <x:c r="F119" s="29" t="str">
        <x:v>SK Security / Adviser</x:v>
      </x:c>
      <x:c r="G119" s="29" t="str">
        <x:v>Surname / exact identity and public professional profile</x:v>
      </x:c>
      <x:c r="H119" s="29" t="str">
        <x:v>Targeted public-source search, then consensual confirmation if needed</x:v>
      </x:c>
      <x:c r="I119" s="29" t="str">
        <x:v>High</x:v>
      </x:c>
      <x:c r="J119" s="29" t="str">
        <x:v>Not started</x:v>
      </x:c>
      <x:c r="K119" s="29" t="str">
        <x:v>Unassigned</x:v>
      </x:c>
      <x:c r="L119" s="29" t="str"/>
    </x:row>
    <x:row r="120">
      <x:c r="A120" s="30" t="n">
        <x:v>148</x:v>
      </x:c>
      <x:c r="B120" s="29" t="str">
        <x:v>Bogdan D</x:v>
      </x:c>
      <x:c r="C120" s="29" t="str">
        <x:v>‎+380933796812</x:v>
      </x:c>
      <x:c r="D120" s="29" t="str">
        <x:v>Self-identified</x:v>
      </x:c>
      <x:c r="E120" s="29" t="str">
        <x:v>Bogdan D (surname unresolved)</x:v>
      </x:c>
      <x:c r="F120" s="29" t="str">
        <x:v>— / —</x:v>
      </x:c>
      <x:c r="G120" s="29" t="str">
        <x:v>Current organisation, role and public-source confirmation</x:v>
      </x:c>
      <x:c r="H120" s="29" t="str">
        <x:v>Targeted public-source search, then consensual confirmation if needed</x:v>
      </x:c>
      <x:c r="I120" s="29" t="str">
        <x:v>Standard</x:v>
      </x:c>
      <x:c r="J120" s="29" t="str">
        <x:v>Not started</x:v>
      </x:c>
      <x:c r="K120" s="29" t="str">
        <x:v>Unassigned</x:v>
      </x:c>
      <x:c r="L120" s="29" t="str"/>
    </x:row>
    <x:row r="121">
      <x:c r="A121" s="30" t="n">
        <x:v>149</x:v>
      </x:c>
      <x:c r="B121" s="29" t="str">
        <x:v>Brett</x:v>
      </x:c>
      <x:c r="C121" s="29" t="str">
        <x:v>‎+18053315464</x:v>
      </x:c>
      <x:c r="D121" s="29" t="str">
        <x:v>Partial</x:v>
      </x:c>
      <x:c r="E121" s="29" t="str">
        <x:v>Brett (surname unknown)</x:v>
      </x:c>
      <x:c r="F121" s="29" t="str">
        <x:v>— / —</x:v>
      </x:c>
      <x:c r="G121" s="29" t="str">
        <x:v>Surname / exact identity and public professional profile</x:v>
      </x:c>
      <x:c r="H121" s="29" t="str">
        <x:v>Targeted public-source search, then consensual confirmation if needed</x:v>
      </x:c>
      <x:c r="I121" s="29" t="str">
        <x:v>Standard</x:v>
      </x:c>
      <x:c r="J121" s="29" t="str">
        <x:v>Not started</x:v>
      </x:c>
      <x:c r="K121" s="29" t="str">
        <x:v>Unassigned</x:v>
      </x:c>
      <x:c r="L121" s="29" t="str"/>
    </x:row>
    <x:row r="122">
      <x:c r="A122" s="30" t="n">
        <x:v>154</x:v>
      </x:c>
      <x:c r="B122" s="29" t="str">
        <x:v>Chris Mac</x:v>
      </x:c>
      <x:c r="C122" s="29" t="str">
        <x:v>‎+380666136245</x:v>
      </x:c>
      <x:c r="D122" s="29" t="str">
        <x:v>Probable</x:v>
      </x:c>
      <x:c r="E122" s="29" t="str">
        <x:v>Chris MacLeod (probable)</x:v>
      </x:c>
      <x:c r="F122" s="29" t="str">
        <x:v>Independent; formerly World Vision (public match) / Security professional / freelancer</x:v>
      </x:c>
      <x:c r="G122" s="29" t="str">
        <x:v>Reliable link between the public profile and this group record</x:v>
      </x:c>
      <x:c r="H122" s="29" t="str">
        <x:v>Targeted public-source search, then consensual confirmation if needed</x:v>
      </x:c>
      <x:c r="I122" s="29" t="str">
        <x:v>High</x:v>
      </x:c>
      <x:c r="J122" s="29" t="str">
        <x:v>Not started</x:v>
      </x:c>
      <x:c r="K122" s="29" t="str">
        <x:v>Unassigned</x:v>
      </x:c>
      <x:c r="L122" s="29" t="str"/>
    </x:row>
    <x:row r="123">
      <x:c r="A123" s="30" t="n">
        <x:v>155</x:v>
      </x:c>
      <x:c r="B123" s="29" t="str">
        <x:v>Christian</x:v>
      </x:c>
      <x:c r="C123" s="29" t="str">
        <x:v>‎+380681427924</x:v>
      </x:c>
      <x:c r="D123" s="29" t="str">
        <x:v>Partial</x:v>
      </x:c>
      <x:c r="E123" s="29" t="str">
        <x:v>Christian (surname unknown)</x:v>
      </x:c>
      <x:c r="F123" s="29" t="str">
        <x:v>ISRM Ukraine / Deputy Events &amp; Membership</x:v>
      </x:c>
      <x:c r="G123" s="29" t="str">
        <x:v>Surname / exact identity and public professional profile</x:v>
      </x:c>
      <x:c r="H123" s="29" t="str">
        <x:v>Targeted public-source search, then consensual confirmation if needed</x:v>
      </x:c>
      <x:c r="I123" s="29" t="str">
        <x:v>Medium</x:v>
      </x:c>
      <x:c r="J123" s="29" t="str">
        <x:v>Not started</x:v>
      </x:c>
      <x:c r="K123" s="29" t="str">
        <x:v>Unassigned</x:v>
      </x:c>
      <x:c r="L123" s="29" t="str"/>
    </x:row>
    <x:row r="124">
      <x:c r="A124" s="30" t="n">
        <x:v>156</x:v>
      </x:c>
      <x:c r="B124" s="29" t="str">
        <x:v>CP</x:v>
      </x:c>
      <x:c r="C124" s="29" t="str">
        <x:v>‎+380759209584</x:v>
      </x:c>
      <x:c r="D124" s="29" t="str">
        <x:v>Partial</x:v>
      </x:c>
      <x:c r="E124" s="29" t="str">
        <x:v>CP (identity unresolved)</x:v>
      </x:c>
      <x:c r="F124" s="29" t="str">
        <x:v>— / —</x:v>
      </x:c>
      <x:c r="G124" s="29" t="str">
        <x:v>Surname / exact identity and public professional profile</x:v>
      </x:c>
      <x:c r="H124" s="29" t="str">
        <x:v>Targeted public-source search, then consensual confirmation if needed</x:v>
      </x:c>
      <x:c r="I124" s="29" t="str">
        <x:v>Standard</x:v>
      </x:c>
      <x:c r="J124" s="29" t="str">
        <x:v>Not started</x:v>
      </x:c>
      <x:c r="K124" s="29" t="str">
        <x:v>Unassigned</x:v>
      </x:c>
      <x:c r="L124" s="29" t="str"/>
    </x:row>
    <x:row r="125">
      <x:c r="A125" s="30" t="n">
        <x:v>158</x:v>
      </x:c>
      <x:c r="B125" s="29" t="str">
        <x:v>Daniel</x:v>
      </x:c>
      <x:c r="C125" s="29" t="str">
        <x:v>‎+447517108244</x:v>
      </x:c>
      <x:c r="D125" s="29" t="str">
        <x:v>Partial</x:v>
      </x:c>
      <x:c r="E125" s="29" t="str">
        <x:v>Daniel (surname unknown)</x:v>
      </x:c>
      <x:c r="F125" s="29" t="str">
        <x:v>— / —</x:v>
      </x:c>
      <x:c r="G125" s="29" t="str">
        <x:v>Surname / exact identity and public professional profile</x:v>
      </x:c>
      <x:c r="H125" s="29" t="str">
        <x:v>Targeted public-source search, then consensual confirmation if needed</x:v>
      </x:c>
      <x:c r="I125" s="29" t="str">
        <x:v>Standard</x:v>
      </x:c>
      <x:c r="J125" s="29" t="str">
        <x:v>Not started</x:v>
      </x:c>
      <x:c r="K125" s="29" t="str">
        <x:v>Unassigned</x:v>
      </x:c>
      <x:c r="L125" s="29" t="str"/>
    </x:row>
    <x:row r="126">
      <x:c r="A126" s="30" t="n">
        <x:v>159</x:v>
      </x:c>
      <x:c r="B126" s="29" t="str">
        <x:v>Daria</x:v>
      </x:c>
      <x:c r="C126" s="29" t="str">
        <x:v>‎+380983644253</x:v>
      </x:c>
      <x:c r="D126" s="29" t="str">
        <x:v>Partial</x:v>
      </x:c>
      <x:c r="E126" s="29" t="str">
        <x:v>Daria (surname unknown)</x:v>
      </x:c>
      <x:c r="F126" s="29" t="str">
        <x:v>— / —</x:v>
      </x:c>
      <x:c r="G126" s="29" t="str">
        <x:v>Surname / exact identity and public professional profile</x:v>
      </x:c>
      <x:c r="H126" s="29" t="str">
        <x:v>Targeted public-source search, then consensual confirmation if needed</x:v>
      </x:c>
      <x:c r="I126" s="29" t="str">
        <x:v>Standard</x:v>
      </x:c>
      <x:c r="J126" s="29" t="str">
        <x:v>Not started</x:v>
      </x:c>
      <x:c r="K126" s="29" t="str">
        <x:v>Unassigned</x:v>
      </x:c>
      <x:c r="L126" s="29" t="str"/>
    </x:row>
    <x:row r="127">
      <x:c r="A127" s="30" t="n">
        <x:v>163</x:v>
      </x:c>
      <x:c r="B127" s="29" t="str">
        <x:v>DD</x:v>
      </x:c>
      <x:c r="C127" s="29" t="str">
        <x:v>‎+380661232313</x:v>
      </x:c>
      <x:c r="D127" s="29" t="str">
        <x:v>Partial</x:v>
      </x:c>
      <x:c r="E127" s="29" t="str">
        <x:v>DD (identity unresolved)</x:v>
      </x:c>
      <x:c r="F127" s="29" t="str">
        <x:v>— / —</x:v>
      </x:c>
      <x:c r="G127" s="29" t="str">
        <x:v>Surname / exact identity and public professional profile</x:v>
      </x:c>
      <x:c r="H127" s="29" t="str">
        <x:v>Targeted public-source search, then consensual confirmation if needed</x:v>
      </x:c>
      <x:c r="I127" s="29" t="str">
        <x:v>Standard</x:v>
      </x:c>
      <x:c r="J127" s="29" t="str">
        <x:v>Not started</x:v>
      </x:c>
      <x:c r="K127" s="29" t="str">
        <x:v>Unassigned</x:v>
      </x:c>
      <x:c r="L127" s="29" t="str"/>
    </x:row>
    <x:row r="128">
      <x:c r="A128" s="30" t="n">
        <x:v>165</x:v>
      </x:c>
      <x:c r="B128" s="29" t="str">
        <x:v>Elena</x:v>
      </x:c>
      <x:c r="C128" s="29" t="str">
        <x:v>‎+380664435735</x:v>
      </x:c>
      <x:c r="D128" s="29" t="str">
        <x:v>Partial</x:v>
      </x:c>
      <x:c r="E128" s="29" t="str">
        <x:v>Elena (surname unknown)</x:v>
      </x:c>
      <x:c r="F128" s="29" t="str">
        <x:v>— / —</x:v>
      </x:c>
      <x:c r="G128" s="29" t="str">
        <x:v>Surname / exact identity and public professional profile</x:v>
      </x:c>
      <x:c r="H128" s="29" t="str">
        <x:v>Targeted public-source search, then consensual confirmation if needed</x:v>
      </x:c>
      <x:c r="I128" s="29" t="str">
        <x:v>Standard</x:v>
      </x:c>
      <x:c r="J128" s="29" t="str">
        <x:v>Not started</x:v>
      </x:c>
      <x:c r="K128" s="29" t="str">
        <x:v>Unassigned</x:v>
      </x:c>
      <x:c r="L128" s="29" t="str"/>
    </x:row>
    <x:row r="129">
      <x:c r="A129" s="30" t="n">
        <x:v>167</x:v>
      </x:c>
      <x:c r="B129" s="29" t="str">
        <x:v>Evgenija Tkachuk</x:v>
      </x:c>
      <x:c r="C129" s="29" t="str">
        <x:v>‎+380965729292</x:v>
      </x:c>
      <x:c r="D129" s="29" t="str">
        <x:v>Self-identified</x:v>
      </x:c>
      <x:c r="E129" s="29" t="str">
        <x:v>Evgenija Tkachuk</x:v>
      </x:c>
      <x:c r="F129" s="29" t="str">
        <x:v>— / —</x:v>
      </x:c>
      <x:c r="G129" s="29" t="str">
        <x:v>Current organisation, role and public-source confirmation</x:v>
      </x:c>
      <x:c r="H129" s="29" t="str">
        <x:v>Targeted public-source search, then consensual confirmation if needed</x:v>
      </x:c>
      <x:c r="I129" s="29" t="str">
        <x:v>Standard</x:v>
      </x:c>
      <x:c r="J129" s="29" t="str">
        <x:v>Not started</x:v>
      </x:c>
      <x:c r="K129" s="29" t="str">
        <x:v>Unassigned</x:v>
      </x:c>
      <x:c r="L129" s="29" t="str"/>
    </x:row>
    <x:row r="130">
      <x:c r="A130" s="30" t="n">
        <x:v>168</x:v>
      </x:c>
      <x:c r="B130" s="29" t="str">
        <x:v>Geoff</x:v>
      </x:c>
      <x:c r="C130" s="29" t="str">
        <x:v>‎+447527808915</x:v>
      </x:c>
      <x:c r="D130" s="29" t="str">
        <x:v>Partial</x:v>
      </x:c>
      <x:c r="E130" s="29" t="str">
        <x:v>Geoff (surname unknown)</x:v>
      </x:c>
      <x:c r="F130" s="29" t="str">
        <x:v>— / —</x:v>
      </x:c>
      <x:c r="G130" s="29" t="str">
        <x:v>Surname / exact identity and public professional profile</x:v>
      </x:c>
      <x:c r="H130" s="29" t="str">
        <x:v>Targeted public-source search, then consensual confirmation if needed</x:v>
      </x:c>
      <x:c r="I130" s="29" t="str">
        <x:v>Standard</x:v>
      </x:c>
      <x:c r="J130" s="29" t="str">
        <x:v>Not started</x:v>
      </x:c>
      <x:c r="K130" s="29" t="str">
        <x:v>Unassigned</x:v>
      </x:c>
      <x:c r="L130" s="29" t="str"/>
    </x:row>
    <x:row r="131">
      <x:c r="A131" s="30" t="n">
        <x:v>169</x:v>
      </x:c>
      <x:c r="B131" s="29" t="str">
        <x:v>Gerald Sigrist</x:v>
      </x:c>
      <x:c r="C131" s="29" t="str">
        <x:v>‎+33788282410</x:v>
      </x:c>
      <x:c r="D131" s="29" t="str">
        <x:v>Self-identified</x:v>
      </x:c>
      <x:c r="E131" s="29" t="str">
        <x:v>Gerald Sigrist</x:v>
      </x:c>
      <x:c r="F131" s="29" t="str">
        <x:v>Save the Children International Ukraine / Safety &amp; Security Director</x:v>
      </x:c>
      <x:c r="G131" s="29" t="str">
        <x:v>Current organisation, role and public-source confirmation</x:v>
      </x:c>
      <x:c r="H131" s="29" t="str">
        <x:v>Targeted public-source search, then consensual confirmation if needed</x:v>
      </x:c>
      <x:c r="I131" s="29" t="str">
        <x:v>High</x:v>
      </x:c>
      <x:c r="J131" s="29" t="str">
        <x:v>Not started</x:v>
      </x:c>
      <x:c r="K131" s="29" t="str">
        <x:v>Unassigned</x:v>
      </x:c>
      <x:c r="L131" s="29" t="str"/>
    </x:row>
    <x:row r="132">
      <x:c r="A132" s="30" t="n">
        <x:v>170</x:v>
      </x:c>
      <x:c r="B132" s="29" t="str">
        <x:v>Greig</x:v>
      </x:c>
      <x:c r="C132" s="29" t="str">
        <x:v>‎+447966267677</x:v>
      </x:c>
      <x:c r="D132" s="29" t="str">
        <x:v>Partial</x:v>
      </x:c>
      <x:c r="E132" s="29" t="str">
        <x:v>Greig (surname unknown)</x:v>
      </x:c>
      <x:c r="F132" s="29" t="str">
        <x:v>— / —</x:v>
      </x:c>
      <x:c r="G132" s="29" t="str">
        <x:v>Surname / exact identity and public professional profile</x:v>
      </x:c>
      <x:c r="H132" s="29" t="str">
        <x:v>Targeted public-source search, then consensual confirmation if needed</x:v>
      </x:c>
      <x:c r="I132" s="29" t="str">
        <x:v>Standard</x:v>
      </x:c>
      <x:c r="J132" s="29" t="str">
        <x:v>Not started</x:v>
      </x:c>
      <x:c r="K132" s="29" t="str">
        <x:v>Unassigned</x:v>
      </x:c>
      <x:c r="L132" s="29" t="str"/>
    </x:row>
    <x:row r="133">
      <x:c r="A133" s="30" t="n">
        <x:v>171</x:v>
      </x:c>
      <x:c r="B133" s="29" t="str">
        <x:v>H.H</x:v>
      </x:c>
      <x:c r="C133" s="29" t="str">
        <x:v>‎+380664901197</x:v>
      </x:c>
      <x:c r="D133" s="29" t="str">
        <x:v>Partial</x:v>
      </x:c>
      <x:c r="E133" s="29" t="str">
        <x:v>H.H (identity unresolved)</x:v>
      </x:c>
      <x:c r="F133" s="29" t="str">
        <x:v>— / —</x:v>
      </x:c>
      <x:c r="G133" s="29" t="str">
        <x:v>Surname / exact identity and public professional profile</x:v>
      </x:c>
      <x:c r="H133" s="29" t="str">
        <x:v>Targeted public-source search, then consensual confirmation if needed</x:v>
      </x:c>
      <x:c r="I133" s="29" t="str">
        <x:v>Standard</x:v>
      </x:c>
      <x:c r="J133" s="29" t="str">
        <x:v>Not started</x:v>
      </x:c>
      <x:c r="K133" s="29" t="str">
        <x:v>Unassigned</x:v>
      </x:c>
      <x:c r="L133" s="29" t="str"/>
    </x:row>
    <x:row r="134">
      <x:c r="A134" s="30" t="n">
        <x:v>172</x:v>
      </x:c>
      <x:c r="B134" s="29" t="str">
        <x:v>Halyna</x:v>
      </x:c>
      <x:c r="C134" s="29" t="str">
        <x:v>‎+380677343313</x:v>
      </x:c>
      <x:c r="D134" s="29" t="str">
        <x:v>Partial</x:v>
      </x:c>
      <x:c r="E134" s="29" t="str">
        <x:v>Halyna (surname unknown)</x:v>
      </x:c>
      <x:c r="F134" s="29" t="str">
        <x:v>— / —</x:v>
      </x:c>
      <x:c r="G134" s="29" t="str">
        <x:v>Surname / exact identity and public professional profile</x:v>
      </x:c>
      <x:c r="H134" s="29" t="str">
        <x:v>Targeted public-source search, then consensual confirmation if needed</x:v>
      </x:c>
      <x:c r="I134" s="29" t="str">
        <x:v>Standard</x:v>
      </x:c>
      <x:c r="J134" s="29" t="str">
        <x:v>Not started</x:v>
      </x:c>
      <x:c r="K134" s="29" t="str">
        <x:v>Unassigned</x:v>
      </x:c>
      <x:c r="L134" s="29" t="str"/>
    </x:row>
    <x:row r="135">
      <x:c r="A135" s="30" t="n">
        <x:v>175</x:v>
      </x:c>
      <x:c r="B135" s="29" t="str">
        <x:v>Ilona</x:v>
      </x:c>
      <x:c r="C135" s="29" t="str">
        <x:v>‎+380967343224</x:v>
      </x:c>
      <x:c r="D135" s="29" t="str">
        <x:v>Partial</x:v>
      </x:c>
      <x:c r="E135" s="29" t="str">
        <x:v>Ilona (surname unknown)</x:v>
      </x:c>
      <x:c r="F135" s="29" t="str">
        <x:v>— / —</x:v>
      </x:c>
      <x:c r="G135" s="29" t="str">
        <x:v>Surname / exact identity and public professional profile</x:v>
      </x:c>
      <x:c r="H135" s="29" t="str">
        <x:v>Targeted public-source search, then consensual confirmation if needed</x:v>
      </x:c>
      <x:c r="I135" s="29" t="str">
        <x:v>Standard</x:v>
      </x:c>
      <x:c r="J135" s="29" t="str">
        <x:v>Not started</x:v>
      </x:c>
      <x:c r="K135" s="29" t="str">
        <x:v>Unassigned</x:v>
      </x:c>
      <x:c r="L135" s="29" t="str"/>
    </x:row>
    <x:row r="136">
      <x:c r="A136" s="30" t="n">
        <x:v>176</x:v>
      </x:c>
      <x:c r="B136" s="29" t="str">
        <x:v>Irina</x:v>
      </x:c>
      <x:c r="C136" s="29" t="str">
        <x:v>‎+380503967401</x:v>
      </x:c>
      <x:c r="D136" s="29" t="str">
        <x:v>Partial</x:v>
      </x:c>
      <x:c r="E136" s="29" t="str">
        <x:v>Irina (surname unknown)</x:v>
      </x:c>
      <x:c r="F136" s="29" t="str">
        <x:v>— / —</x:v>
      </x:c>
      <x:c r="G136" s="29" t="str">
        <x:v>Surname / exact identity and public professional profile</x:v>
      </x:c>
      <x:c r="H136" s="29" t="str">
        <x:v>Targeted public-source search, then consensual confirmation if needed</x:v>
      </x:c>
      <x:c r="I136" s="29" t="str">
        <x:v>Standard</x:v>
      </x:c>
      <x:c r="J136" s="29" t="str">
        <x:v>Not started</x:v>
      </x:c>
      <x:c r="K136" s="29" t="str">
        <x:v>Unassigned</x:v>
      </x:c>
      <x:c r="L136" s="29" t="str"/>
    </x:row>
    <x:row r="137">
      <x:c r="A137" s="30" t="n">
        <x:v>178</x:v>
      </x:c>
      <x:c r="B137" s="29" t="str">
        <x:v>Ivan Golturenko</x:v>
      </x:c>
      <x:c r="C137" s="29" t="str">
        <x:v>‎+380679218778</x:v>
      </x:c>
      <x:c r="D137" s="29" t="str">
        <x:v>Self-identified</x:v>
      </x:c>
      <x:c r="E137" s="29" t="str">
        <x:v>Ivan Golturenko</x:v>
      </x:c>
      <x:c r="F137" s="29" t="str">
        <x:v>— / —</x:v>
      </x:c>
      <x:c r="G137" s="29" t="str">
        <x:v>Current organisation, role and public-source confirmation</x:v>
      </x:c>
      <x:c r="H137" s="29" t="str">
        <x:v>Targeted public-source search, then consensual confirmation if needed</x:v>
      </x:c>
      <x:c r="I137" s="29" t="str">
        <x:v>Standard</x:v>
      </x:c>
      <x:c r="J137" s="29" t="str">
        <x:v>Not started</x:v>
      </x:c>
      <x:c r="K137" s="29" t="str">
        <x:v>Unassigned</x:v>
      </x:c>
      <x:c r="L137" s="29" t="str"/>
    </x:row>
  </x:sheetData>
  <x:mergeCells>
    <x:mergeCell ref="A1:L1"/>
    <x:mergeCell ref="A2:L2"/>
  </x:mergeCells>
  <x:dataValidations count="2">
    <x:dataValidation type="list" sqref="J5:J137">
      <x:formula1>"Not started,Searching public sources,Awaiting confirmation,Verified,No reliable match,Remove / archive review"</x:formula1>
    </x:dataValidation>
    <x:dataValidation type="list" sqref="K5:K137">
      <x:formula1>"Unassigned,ISRM,F&amp;P,Joint"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768c82944a45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26" hidden="0" customWidth="1"/>
    <x:col min="4" max="4" width="45" hidden="0" customWidth="1"/>
    <x:col min="5" max="5" width="52" hidden="0" customWidth="1"/>
    <x:col min="6" max="6" width="61" hidden="0" customWidth="1"/>
  </x:cols>
  <x:sheetData>
    <x:row r="1" ht="31" customHeight="1">
      <x:c r="A1" s="4" t="str">
        <x:v>ISRM Community CRM — LinkedIn Mapping Plan</x:v>
      </x:c>
      <x:c r="B1" s="4" t="str">
        <x:v>ISRM Community CRM — LinkedIn Mapping Plan</x:v>
      </x:c>
      <x:c r="C1" s="4" t="str">
        <x:v>ISRM Community CRM — LinkedIn Mapping Plan</x:v>
      </x:c>
      <x:c r="D1" s="4" t="str">
        <x:v>ISRM Community CRM — LinkedIn Mapping Plan</x:v>
      </x:c>
      <x:c r="E1" s="4" t="str">
        <x:v>ISRM Community CRM — LinkedIn Mapping Plan</x:v>
      </x:c>
      <x:c r="F1" s="4" t="str">
        <x:v>ISRM Community CRM — LinkedIn Mapping Plan</x:v>
      </x:c>
    </x:row>
    <x:row r="2" ht="28" customHeight="1">
      <x:c r="A2" s="16" t="str">
        <x:v>The Ukraine CRM is the named, verified pilot. LinkedIn Page analytics provide aggregate audience structure, not a complete identifiable follower database.</x:v>
      </x:c>
      <x:c r="B2" s="17" t="str">
        <x:v>The Ukraine CRM is the named, verified pilot. LinkedIn Page analytics provide aggregate audience structure, not a complete identifiable follower database.</x:v>
      </x:c>
      <x:c r="C2" s="17" t="str">
        <x:v>The Ukraine CRM is the named, verified pilot. LinkedIn Page analytics provide aggregate audience structure, not a complete identifiable follower database.</x:v>
      </x:c>
      <x:c r="D2" s="17" t="str">
        <x:v>The Ukraine CRM is the named, verified pilot. LinkedIn Page analytics provide aggregate audience structure, not a complete identifiable follower database.</x:v>
      </x:c>
      <x:c r="E2" s="17" t="str">
        <x:v>The Ukraine CRM is the named, verified pilot. LinkedIn Page analytics provide aggregate audience structure, not a complete identifiable follower database.</x:v>
      </x:c>
      <x:c r="F2" s="18" t="str">
        <x:v>The Ukraine CRM is the named, verified pilot. LinkedIn Page analytics provide aggregate audience structure, not a complete identifiable follower database.</x:v>
      </x:c>
    </x:row>
    <x:row r="4" ht="38" customHeight="1">
      <x:c r="A4" s="24" t="str">
        <x:v>Data layer</x:v>
      </x:c>
      <x:c r="B4" s="24" t="str">
        <x:v>What is available</x:v>
      </x:c>
      <x:c r="C4" s="24" t="str">
        <x:v>Name-level access</x:v>
      </x:c>
      <x:c r="D4" s="24" t="str">
        <x:v>Comparable CRM fields</x:v>
      </x:c>
      <x:c r="E4" s="24" t="str">
        <x:v>Use in analysis</x:v>
      </x:c>
      <x:c r="F4" s="24" t="str">
        <x:v>Key limitation / next action</x:v>
      </x:c>
    </x:row>
    <x:row r="5">
      <x:c r="A5" s="29" t="str">
        <x:v>ISRM Ukraine WhatsApp pilot</x:v>
      </x:c>
      <x:c r="B5" s="29" t="str">
        <x:v>178 supplied group records</x:v>
      </x:c>
      <x:c r="C5" s="29" t="str">
        <x:v>Yes, internal</x:v>
      </x:c>
      <x:c r="D5" s="29" t="str">
        <x:v>Country; organisation; role; sector; seniority; expertise; community role</x:v>
      </x:c>
      <x:c r="E5" s="29" t="str">
        <x:v>Build and test CRM taxonomy</x:v>
      </x:c>
      <x:c r="F5" s="29" t="str">
        <x:v>Closed-group data; internal use and consent controls required</x:v>
      </x:c>
    </x:row>
    <x:row r="6">
      <x:c r="A6" s="29" t="str">
        <x:v>Official ISRM membership list</x:v>
      </x:c>
      <x:c r="B6" s="29" t="str">
        <x:v>To be requested from ISRM</x:v>
      </x:c>
      <x:c r="C6" s="29" t="str">
        <x:v>Potentially, subject to authority</x:v>
      </x:c>
      <x:c r="D6" s="29" t="str">
        <x:v>Member ID; country; chapter; grade; organisation; role; sector</x:v>
      </x:c>
      <x:c r="E6" s="29" t="str">
        <x:v>Scale the verified CRM globally</x:v>
      </x:c>
      <x:c r="F6" s="29" t="str">
        <x:v>Define purpose, access, retention and publication permissions</x:v>
      </x:c>
    </x:row>
    <x:row r="7">
      <x:c r="A7" s="29" t="str">
        <x:v>LinkedIn Page followers</x:v>
      </x:c>
      <x:c r="B7" s="29" t="str">
        <x:v>8,742 followers in public snapshot</x:v>
      </x:c>
      <x:c r="C7" s="29" t="str">
        <x:v>No complete follower-name export</x:v>
      </x:c>
      <x:c r="D7" s="29" t="str">
        <x:v>Country; industry; seniority; job function; company size</x:v>
      </x:c>
      <x:c r="E7" s="29" t="str">
        <x:v>Compare audience composition with official membership and Ukraine pilot</x:v>
      </x:c>
      <x:c r="F7" s="29" t="str">
        <x:v>Use aggregate Page analytics XLS; do not describe followers as verified members</x:v>
      </x:c>
    </x:row>
    <x:row r="8">
      <x:c r="A8" s="29" t="str">
        <x:v>LinkedIn-associated employees</x:v>
      </x:c>
      <x:c r="B8" s="29" t="str">
        <x:v>44 public profiles in snapshot</x:v>
      </x:c>
      <x:c r="C8" s="29" t="str">
        <x:v>Public profiles are individually visible</x:v>
      </x:c>
      <x:c r="D8" s="29" t="str">
        <x:v>Name; organisation; role; country; seniority</x:v>
      </x:c>
      <x:c r="E8" s="29" t="str">
        <x:v>Identify people who listed ISRM as employment</x:v>
      </x:c>
      <x:c r="F8" s="29" t="str">
        <x:v>This is not the ISRM membership list</x:v>
      </x:c>
    </x:row>
    <x:row r="9">
      <x:c r="A9" s="29" t="str">
        <x:v>LinkedIn content analytics</x:v>
      </x:c>
      <x:c r="B9" s="29" t="str">
        <x:v>Admin export required</x:v>
      </x:c>
      <x:c r="C9" s="29" t="str">
        <x:v>Post-level, mainly aggregate</x:v>
      </x:c>
      <x:c r="D9" s="29" t="str">
        <x:v>Topic; format; chapter; author; impressions; engagement; clicks</x:v>
      </x:c>
      <x:c r="E9" s="29" t="str">
        <x:v>Measure what expertise and formats attract attention</x:v>
      </x:c>
      <x:c r="F9" s="29" t="str">
        <x:v>Requires Page admin export and a consistent content taxonomy</x:v>
      </x:c>
    </x:row>
    <x:row r="10">
      <x:c r="A10" s="29" t="str">
        <x:v>ISRM Chapter pages</x:v>
      </x:c>
      <x:c r="B10" s="29" t="str">
        <x:v>Multiple chapter and affiliated pages</x:v>
      </x:c>
      <x:c r="C10" s="29" t="str">
        <x:v>Public page-level data</x:v>
      </x:c>
      <x:c r="D10" s="29" t="str">
        <x:v>Country; chapter; follower count; activity; themes</x:v>
      </x:c>
      <x:c r="E10" s="29" t="str">
        <x:v>Map active chapters and content supply</x:v>
      </x:c>
      <x:c r="F10" s="29" t="str">
        <x:v>Need an official list of chapter pages and administrators</x:v>
      </x:c>
    </x:row>
    <x:row r="13" ht="38" customHeight="1">
      <x:c r="A13" s="24" t="str">
        <x:v>Common taxonomy</x:v>
      </x:c>
      <x:c r="B13" s="24" t="str">
        <x:v>Ukraine CRM field</x:v>
      </x:c>
      <x:c r="C13" s="24" t="str">
        <x:v>LinkedIn analytics field</x:v>
      </x:c>
      <x:c r="D13" s="24" t="str">
        <x:v>Comparison unit</x:v>
      </x:c>
      <x:c r="E13" s="24" t="str">
        <x:v>Question answered</x:v>
      </x:c>
      <x:c r="F13" s="24" t="str">
        <x:v>Rule</x:v>
      </x:c>
    </x:row>
    <x:row r="14">
      <x:c r="A14" s="29" t="str">
        <x:v>Geography</x:v>
      </x:c>
      <x:c r="B14" s="29" t="str">
        <x:v>Professional country / city</x:v>
      </x:c>
      <x:c r="C14" s="29" t="str">
        <x:v>Follower location</x:v>
      </x:c>
      <x:c r="D14" s="29" t="str">
        <x:v>Country; selected cities</x:v>
      </x:c>
      <x:c r="E14" s="29" t="str">
        <x:v>Where is the community strong or weak?</x:v>
      </x:c>
      <x:c r="F14" s="29" t="str">
        <x:v>Do not substitute phone-code country for professional location</x:v>
      </x:c>
    </x:row>
    <x:row r="15">
      <x:c r="A15" s="29" t="str">
        <x:v>Sector</x:v>
      </x:c>
      <x:c r="B15" s="29" t="str">
        <x:v>Sector</x:v>
      </x:c>
      <x:c r="C15" s="29" t="str">
        <x:v>Industry</x:v>
      </x:c>
      <x:c r="D15" s="29" t="str">
        <x:v>Controlled sector groups</x:v>
      </x:c>
      <x:c r="E15" s="29" t="str">
        <x:v>Which industries are represented?</x:v>
      </x:c>
      <x:c r="F15" s="29" t="str">
        <x:v>Maintain a visible crosswalk between CRM sectors and LinkedIn industries</x:v>
      </x:c>
    </x:row>
    <x:row r="16">
      <x:c r="A16" s="29" t="str">
        <x:v>Responsibility</x:v>
      </x:c>
      <x:c r="B16" s="29" t="str">
        <x:v>Role / CRM stage</x:v>
      </x:c>
      <x:c r="C16" s="29" t="str">
        <x:v>Seniority</x:v>
      </x:c>
      <x:c r="D16" s="29" t="str">
        <x:v>Entry; manager; director; VP; C-level</x:v>
      </x:c>
      <x:c r="E16" s="29" t="str">
        <x:v>Does ISRM reach decision-makers and emerging professionals?</x:v>
      </x:c>
      <x:c r="F16" s="29" t="str">
        <x:v>Seniority must be derived consistently and manually reviewed for key profiles</x:v>
      </x:c>
    </x:row>
    <x:row r="17">
      <x:c r="A17" s="29" t="str">
        <x:v>Professional function</x:v>
      </x:c>
      <x:c r="B17" s="29" t="str">
        <x:v>Primary expertise</x:v>
      </x:c>
      <x:c r="C17" s="29" t="str">
        <x:v>Job function</x:v>
      </x:c>
      <x:c r="D17" s="29" t="str">
        <x:v>Security; operations; legal; research; communications; other</x:v>
      </x:c>
      <x:c r="E17" s="29" t="str">
        <x:v>What capabilities exist in the network?</x:v>
      </x:c>
      <x:c r="F17" s="29" t="str">
        <x:v>Expertise is not identical to LinkedIn job function</x:v>
      </x:c>
    </x:row>
    <x:row r="18">
      <x:c r="A18" s="29" t="str">
        <x:v>Organisation scale</x:v>
      </x:c>
      <x:c r="B18" s="29" t="str">
        <x:v>Organisation</x:v>
      </x:c>
      <x:c r="C18" s="29" t="str">
        <x:v>Company size</x:v>
      </x:c>
      <x:c r="D18" s="29" t="str">
        <x:v>LinkedIn company-size bands</x:v>
      </x:c>
      <x:c r="E18" s="29" t="str">
        <x:v>What kinds of institutions does ISRM reach?</x:v>
      </x:c>
      <x:c r="F18" s="29" t="str">
        <x:v>The ISRM Page setting 10,001+ is not an ISRM membership count</x:v>
      </x:c>
    </x:row>
    <x:row r="19">
      <x:c r="A19" s="29" t="str">
        <x:v>Community value</x:v>
      </x:c>
      <x:c r="B19" s="29" t="str">
        <x:v>Potential ISRM contribution</x:v>
      </x:c>
      <x:c r="C19" s="29" t="str">
        <x:v>Not directly available</x:v>
      </x:c>
      <x:c r="D19" s="29" t="str">
        <x:v>Speaker; author; trainer; mentor; leader; partner</x:v>
      </x:c>
      <x:c r="E19" s="29" t="str">
        <x:v>Who can help ISRM create programmes and knowledge?</x:v>
      </x:c>
      <x:c r="F19" s="29" t="str">
        <x:v>Requires named CRM research and, where appropriate, consent</x:v>
      </x:c>
    </x:row>
    <x:row r="20">
      <x:c r="A20" s="29" t="str">
        <x:v>Content performance</x:v>
      </x:c>
      <x:c r="B20" s="29" t="str">
        <x:v>Case study / content theme</x:v>
      </x:c>
      <x:c r="C20" s="29" t="str">
        <x:v>Post impressions and engagement</x:v>
      </x:c>
      <x:c r="D20" s="29" t="str">
        <x:v>Topic and format</x:v>
      </x:c>
      <x:c r="E20" s="29" t="str">
        <x:v>Which expertise should ISRM publish more often?</x:v>
      </x:c>
      <x:c r="F20" s="29" t="str">
        <x:v>Use Page analytics; avoid judging quality by impressions alone</x:v>
      </x:c>
    </x:row>
    <x:row r="23" ht="38" customHeight="1">
      <x:c r="A23" s="24" t="str">
        <x:v>Required input</x:v>
      </x:c>
      <x:c r="B23" s="24" t="str">
        <x:v>Who provides it</x:v>
      </x:c>
      <x:c r="C23" s="24" t="str">
        <x:v>Format</x:v>
      </x:c>
      <x:c r="D23" s="24" t="str">
        <x:v>Mandatory?</x:v>
      </x:c>
      <x:c r="E23" s="24" t="str">
        <x:v>Purpose</x:v>
      </x:c>
      <x:c r="F23" s="24" t="str">
        <x:v>Legal / practical condition</x:v>
      </x:c>
    </x:row>
    <x:row r="24">
      <x:c r="A24" s="29" t="str">
        <x:v>Official member register</x:v>
      </x:c>
      <x:c r="B24" s="29" t="str">
        <x:v>ISRM</x:v>
      </x:c>
      <x:c r="C24" s="29" t="str">
        <x:v>XLSX / CSV</x:v>
      </x:c>
      <x:c r="D24" s="29" t="str">
        <x:v>Yes for global named CRM</x:v>
      </x:c>
      <x:c r="E24" s="29" t="str">
        <x:v>Identify and verify members</x:v>
      </x:c>
      <x:c r="F24" s="29" t="str">
        <x:v>Share only fields necessary for agreed internal purpose</x:v>
      </x:c>
    </x:row>
    <x:row r="25">
      <x:c r="A25" s="29" t="str">
        <x:v>LinkedIn followers analytics</x:v>
      </x:c>
      <x:c r="B25" s="29" t="str">
        <x:v>LinkedIn Page admin</x:v>
      </x:c>
      <x:c r="C25" s="29" t="str">
        <x:v>XLS</x:v>
      </x:c>
      <x:c r="D25" s="29" t="str">
        <x:v>Yes for audience comparison</x:v>
      </x:c>
      <x:c r="E25" s="29" t="str">
        <x:v>Country, industry, seniority, function and company size</x:v>
      </x:c>
      <x:c r="F25" s="29" t="str">
        <x:v>Aggregate analytics; no passwords required</x:v>
      </x:c>
    </x:row>
    <x:row r="26">
      <x:c r="A26" s="29" t="str">
        <x:v>LinkedIn visitors analytics</x:v>
      </x:c>
      <x:c r="B26" s="29" t="str">
        <x:v>LinkedIn Page admin</x:v>
      </x:c>
      <x:c r="C26" s="29" t="str">
        <x:v>XLS</x:v>
      </x:c>
      <x:c r="D26" s="29" t="str">
        <x:v>Recommended</x:v>
      </x:c>
      <x:c r="E26" s="29" t="str">
        <x:v>Understand who views the Page</x:v>
      </x:c>
      <x:c r="F26" s="29" t="str">
        <x:v>Aggregate analytics</x:v>
      </x:c>
    </x:row>
    <x:row r="27">
      <x:c r="A27" s="29" t="str">
        <x:v>LinkedIn content analytics</x:v>
      </x:c>
      <x:c r="B27" s="29" t="str">
        <x:v>LinkedIn Page admin</x:v>
      </x:c>
      <x:c r="C27" s="29" t="str">
        <x:v>XLS</x:v>
      </x:c>
      <x:c r="D27" s="29" t="str">
        <x:v>Recommended</x:v>
      </x:c>
      <x:c r="E27" s="29" t="str">
        <x:v>Evaluate content themes and formats</x:v>
      </x:c>
      <x:c r="F27" s="29" t="str">
        <x:v>Post-level performance; human interpretation required</x:v>
      </x:c>
    </x:row>
    <x:row r="28">
      <x:c r="A28" s="29" t="str">
        <x:v>Official chapter/page list</x:v>
      </x:c>
      <x:c r="B28" s="29" t="str">
        <x:v>ISRM</x:v>
      </x:c>
      <x:c r="C28" s="29" t="str">
        <x:v>XLSX / document</x:v>
      </x:c>
      <x:c r="D28" s="29" t="str">
        <x:v>Recommended</x:v>
      </x:c>
      <x:c r="E28" s="29" t="str">
        <x:v>Map chapter footprint and editorial capacity</x:v>
      </x:c>
      <x:c r="F28" s="29" t="str">
        <x:v>Confirm which pages are official and who may provide data</x:v>
      </x:c>
    </x:row>
  </x:sheetData>
  <x:mergeCells>
    <x:mergeCell ref="A1:F1"/>
    <x:mergeCell ref="A2:F2"/>
  </x:mergeCells>
  <x:pageMargins left="0.7" right="0.7" top="0.75" bottom="0.75" header="0.3" footer="0.3"/>
  <x:tableParts count="3">
    <x:tablePart xmlns:r="http://schemas.openxmlformats.org/officeDocument/2006/relationships" r:id="Rb9599e8e15f04cda"/>
    <x:tablePart xmlns:r="http://schemas.openxmlformats.org/officeDocument/2006/relationships" r:id="Rfa92c5ae9bc24e4f"/>
    <x:tablePart xmlns:r="http://schemas.openxmlformats.org/officeDocument/2006/relationships" r:id="Rff917042b71346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4" hidden="0" customWidth="1"/>
    <x:col min="3" max="3" width="54" hidden="0" customWidth="1"/>
    <x:col min="4" max="4" width="35" hidden="0" customWidth="1"/>
    <x:col min="5" max="5" width="61" hidden="0" customWidth="1"/>
  </x:cols>
  <x:sheetData>
    <x:row r="1" ht="31" customHeight="1">
      <x:c r="A1" s="4" t="str">
        <x:v>Community CRM — Data Dictionary and Operating Rules</x:v>
      </x:c>
      <x:c r="B1" s="4" t="str">
        <x:v>Community CRM — Data Dictionary and Operating Rules</x:v>
      </x:c>
      <x:c r="C1" s="4" t="str">
        <x:v>Community CRM — Data Dictionary and Operating Rules</x:v>
      </x:c>
      <x:c r="D1" s="4" t="str">
        <x:v>Community CRM — Data Dictionary and Operating Rules</x:v>
      </x:c>
      <x:c r="E1" s="4" t="str">
        <x:v>Community CRM — Data Dictionary and Operating Rules</x:v>
      </x:c>
    </x:row>
    <x:row r="2" ht="28" customHeight="1">
      <x:c r="A2" s="16" t="str">
        <x:v>The CRM separates supplied group data, verified facts, analytical classifications and interview-based knowledge. Every publication or outreach decision remains subject to human review.</x:v>
      </x:c>
      <x:c r="B2" s="17" t="str">
        <x:v>The CRM separates supplied group data, verified facts, analytical classifications and interview-based knowledge. Every publication or outreach decision remains subject to human review.</x:v>
      </x:c>
      <x:c r="C2" s="17" t="str">
        <x:v>The CRM separates supplied group data, verified facts, analytical classifications and interview-based knowledge. Every publication or outreach decision remains subject to human review.</x:v>
      </x:c>
      <x:c r="D2" s="17" t="str">
        <x:v>The CRM separates supplied group data, verified facts, analytical classifications and interview-based knowledge. Every publication or outreach decision remains subject to human review.</x:v>
      </x:c>
      <x:c r="E2" s="18" t="str">
        <x:v>The CRM separates supplied group data, verified facts, analytical classifications and interview-based knowledge. Every publication or outreach decision remains subject to human review.</x:v>
      </x:c>
    </x:row>
    <x:row r="4" ht="38" customHeight="1">
      <x:c r="A4" s="24" t="str">
        <x:v>Field / concept</x:v>
      </x:c>
      <x:c r="B4" s="24" t="str">
        <x:v>Definition</x:v>
      </x:c>
      <x:c r="C4" s="24" t="str">
        <x:v>Allowed / expected values</x:v>
      </x:c>
      <x:c r="D4" s="24" t="str">
        <x:v>How populated</x:v>
      </x:c>
      <x:c r="E4" s="24" t="str">
        <x:v>Control rule</x:v>
      </x:c>
    </x:row>
    <x:row r="5">
      <x:c r="A5" s="29" t="str">
        <x:v>Record ID</x:v>
      </x:c>
      <x:c r="B5" s="29" t="str">
        <x:v>Stable identifier for the pilot record</x:v>
      </x:c>
      <x:c r="C5" s="29" t="str">
        <x:v>1–178</x:v>
      </x:c>
      <x:c r="D5" s="29" t="str">
        <x:v>Original dataset order</x:v>
      </x:c>
      <x:c r="E5" s="29" t="str">
        <x:v>Do not reuse an ID for another person</x:v>
      </x:c>
    </x:row>
    <x:row r="6">
      <x:c r="A6" s="29" t="str">
        <x:v>Source platform</x:v>
      </x:c>
      <x:c r="B6" s="29" t="str">
        <x:v>Where the record entered the CRM</x:v>
      </x:c>
      <x:c r="C6" s="29" t="str">
        <x:v>WhatsApp; Official membership; LinkedIn public; Event; Referral</x:v>
      </x:c>
      <x:c r="D6" s="29" t="str">
        <x:v>Source data</x:v>
      </x:c>
      <x:c r="E6" s="29" t="str">
        <x:v>Keep source distinct from verification evidence</x:v>
      </x:c>
    </x:row>
    <x:row r="7">
      <x:c r="A7" s="29" t="str">
        <x:v>Original name</x:v>
      </x:c>
      <x:c r="B7" s="29" t="str">
        <x:v>Name exactly as supplied in the source</x:v>
      </x:c>
      <x:c r="C7" s="29" t="str">
        <x:v>Free text</x:v>
      </x:c>
      <x:c r="D7" s="29" t="str">
        <x:v>Source data</x:v>
      </x:c>
      <x:c r="E7" s="29" t="str">
        <x:v>Never overwrite; corrections belong in Contact name</x:v>
      </x:c>
    </x:row>
    <x:row r="8">
      <x:c r="A8" s="29" t="str">
        <x:v>Contact name</x:v>
      </x:c>
      <x:c r="B8" s="29" t="str">
        <x:v>Best current identity hypothesis</x:v>
      </x:c>
      <x:c r="C8" s="29" t="str">
        <x:v>Full name or explicitly marked unresolved identity</x:v>
      </x:c>
      <x:c r="D8" s="29" t="str">
        <x:v>Research / confirmation</x:v>
      </x:c>
      <x:c r="E8" s="29" t="str">
        <x:v>Do not present Partial or Probable as confirmed</x:v>
      </x:c>
    </x:row>
    <x:row r="9">
      <x:c r="A9" s="29" t="str">
        <x:v>Phone-code country</x:v>
      </x:c>
      <x:c r="B9" s="29" t="str">
        <x:v>Country inferred only from international calling code</x:v>
      </x:c>
      <x:c r="C9" s="29" t="str">
        <x:v>Controlled country names</x:v>
      </x:c>
      <x:c r="D9" s="29" t="str">
        <x:v>Automated classification</x:v>
      </x:c>
      <x:c r="E9" s="29" t="str">
        <x:v>Not evidence of residence, nationality or work location</x:v>
      </x:c>
    </x:row>
    <x:row r="10">
      <x:c r="A10" s="29" t="str">
        <x:v>Professional country</x:v>
      </x:c>
      <x:c r="B10" s="29" t="str">
        <x:v>Current main professional location</x:v>
      </x:c>
      <x:c r="C10" s="29" t="str">
        <x:v>Country</x:v>
      </x:c>
      <x:c r="D10" s="29" t="str">
        <x:v>Public source or confirmation</x:v>
      </x:c>
      <x:c r="E10" s="29" t="str">
        <x:v>Leave blank when unknown</x:v>
      </x:c>
    </x:row>
    <x:row r="11">
      <x:c r="A11" s="29" t="str">
        <x:v>Organisation / role</x:v>
      </x:c>
      <x:c r="B11" s="29" t="str">
        <x:v>Current professional affiliation and responsibility</x:v>
      </x:c>
      <x:c r="C11" s="29" t="str">
        <x:v>Free text</x:v>
      </x:c>
      <x:c r="D11" s="29" t="str">
        <x:v>Public source or self-identification</x:v>
      </x:c>
      <x:c r="E11" s="29" t="str">
        <x:v>Record verification status and date</x:v>
      </x:c>
    </x:row>
    <x:row r="12">
      <x:c r="A12" s="29" t="str">
        <x:v>Sector</x:v>
      </x:c>
      <x:c r="B12" s="29" t="str">
        <x:v>Broad controlled category for comparison</x:v>
      </x:c>
      <x:c r="C12" s="29" t="str">
        <x:v>Security; Humanitarian; Academia; Technology; Infrastructure; Legal/governance; Media; Business; To classify</x:v>
      </x:c>
      <x:c r="D12" s="29" t="str">
        <x:v>Preliminary keyword classification then human review</x:v>
      </x:c>
      <x:c r="E12" s="29" t="str">
        <x:v>Use same crosswalk for the global membership CRM</x:v>
      </x:c>
    </x:row>
    <x:row r="13">
      <x:c r="A13" s="29" t="str">
        <x:v>Identity status</x:v>
      </x:c>
      <x:c r="B13" s="29" t="str">
        <x:v>Strength of the identity match</x:v>
      </x:c>
      <x:c r="C13" s="29" t="str">
        <x:v>Confirmed; Confirmed — phone matched; Self-identified; Probable; Partial; Unidentified</x:v>
      </x:c>
      <x:c r="D13" s="29" t="str">
        <x:v>Research assessment</x:v>
      </x:c>
      <x:c r="E13" s="29" t="str">
        <x:v>Confirmed requires reliable evidence</x:v>
      </x:c>
    </x:row>
    <x:row r="14">
      <x:c r="A14" s="29" t="str">
        <x:v>Confidence</x:v>
      </x:c>
      <x:c r="B14" s="29" t="str">
        <x:v>Confidence in the current profile</x:v>
      </x:c>
      <x:c r="C14" s="29" t="str">
        <x:v>High; Medium-high; Medium; Low; None</x:v>
      </x:c>
      <x:c r="D14" s="29" t="str">
        <x:v>Research assessment</x:v>
      </x:c>
      <x:c r="E14" s="29" t="str">
        <x:v>Confidence does not replace source evidence</x:v>
      </x:c>
    </x:row>
    <x:row r="15">
      <x:c r="A15" s="29" t="str">
        <x:v>Relationship type</x:v>
      </x:c>
      <x:c r="B15" s="29" t="str">
        <x:v>Operational CRM relationship</x:v>
      </x:c>
      <x:c r="C15" s="29" t="str">
        <x:v>Potential client; Potential partner/referral; Connector; Member/verify; Internal; Unqualified/pending</x:v>
      </x:c>
      <x:c r="D15" s="29" t="str">
        <x:v>Current analysis</x:v>
      </x:c>
      <x:c r="E15" s="29" t="str">
        <x:v>Commercial classification is internal and revisable</x:v>
      </x:c>
    </x:row>
    <x:row r="16">
      <x:c r="A16" s="29" t="str">
        <x:v>CRM stage</x:v>
      </x:c>
      <x:c r="B16" s="29" t="str">
        <x:v>Next state in the record lifecycle</x:v>
      </x:c>
      <x:c r="C16" s="29" t="str">
        <x:v>Identification pending through verified profile</x:v>
      </x:c>
      <x:c r="D16" s="29" t="str">
        <x:v>Derived from identity status</x:v>
      </x:c>
      <x:c r="E16" s="29" t="str">
        <x:v>Update after every material verification</x:v>
      </x:c>
    </x:row>
    <x:row r="17">
      <x:c r="A17" s="29" t="str">
        <x:v>Priority</x:v>
      </x:c>
      <x:c r="B17" s="29" t="str">
        <x:v>Order for research or engagement</x:v>
      </x:c>
      <x:c r="C17" s="29" t="str">
        <x:v>High; Medium; Low; Internal</x:v>
      </x:c>
      <x:c r="D17" s="29" t="str">
        <x:v>Relationship classification</x:v>
      </x:c>
      <x:c r="E17" s="29" t="str">
        <x:v>Priority is not permission to contact</x:v>
      </x:c>
    </x:row>
    <x:row r="18">
      <x:c r="A18" s="29" t="str">
        <x:v>Primary expertise</x:v>
      </x:c>
      <x:c r="B18" s="29" t="str">
        <x:v>Main professional knowledge area</x:v>
      </x:c>
      <x:c r="C18" s="29" t="str">
        <x:v>Controlled expertise taxonomy</x:v>
      </x:c>
      <x:c r="D18" s="29" t="str">
        <x:v>Role/organisation hypothesis then interview verification</x:v>
      </x:c>
      <x:c r="E18" s="29" t="str">
        <x:v>Mark inferred themes as unverified</x:v>
      </x:c>
    </x:row>
    <x:row r="19">
      <x:c r="A19" s="29" t="str">
        <x:v>Ukraine experience theme</x:v>
      </x:c>
      <x:c r="B19" s="29" t="str">
        <x:v>Topic to test in research or interview</x:v>
      </x:c>
      <x:c r="C19" s="29" t="str">
        <x:v>Free text ending in verify/assess until confirmed</x:v>
      </x:c>
      <x:c r="D19" s="29" t="str">
        <x:v>Preliminary role-based inference</x:v>
      </x:c>
      <x:c r="E19" s="29" t="str">
        <x:v>Do not publish as a biographical fact</x:v>
      </x:c>
    </x:row>
    <x:row r="20">
      <x:c r="A20" s="29" t="str">
        <x:v>Potential ISRM contribution</x:v>
      </x:c>
      <x:c r="B20" s="29" t="str">
        <x:v>Possible way a person could help the community</x:v>
      </x:c>
      <x:c r="C20" s="29" t="str">
        <x:v>Speaker; author; trainer; mentor; leader; partner; contributor; To assess</x:v>
      </x:c>
      <x:c r="D20" s="29" t="str">
        <x:v>Role-based hypothesis</x:v>
      </x:c>
      <x:c r="E20" s="29" t="str">
        <x:v>Confirm interest before naming publicly</x:v>
      </x:c>
    </x:row>
    <x:row r="21">
      <x:c r="A21" s="29" t="str">
        <x:v>Consent / use status</x:v>
      </x:c>
      <x:c r="B21" s="29" t="str">
        <x:v>Recorded permission and allowed use</x:v>
      </x:c>
      <x:c r="C21" s="29" t="str">
        <x:v>Internal only; contact recorded; publish recorded; opted out; review required</x:v>
      </x:c>
      <x:c r="D21" s="29" t="str">
        <x:v>Direct confirmation / governance process</x:v>
      </x:c>
      <x:c r="E21" s="29" t="str">
        <x:v>Default is internal CRM only</x:v>
      </x:c>
    </x:row>
    <x:row r="22">
      <x:c r="A22" s="29" t="str">
        <x:v>Sensitivity</x:v>
      </x:c>
      <x:c r="B22" s="29" t="str">
        <x:v>Handling restriction</x:v>
      </x:c>
      <x:c r="C22" s="29" t="str">
        <x:v>Standard; closed-group personal data; security-sensitive; publication review</x:v>
      </x:c>
      <x:c r="D22" s="29" t="str">
        <x:v>Source and human assessment</x:v>
      </x:c>
      <x:c r="E22" s="29" t="str">
        <x:v>Minimise access and exposure</x:v>
      </x:c>
    </x:row>
    <x:row r="23">
      <x:c r="A23" s="29" t="str">
        <x:v>Owner</x:v>
      </x:c>
      <x:c r="B23" s="29" t="str">
        <x:v>Person or team responsible for the record</x:v>
      </x:c>
      <x:c r="C23" s="29" t="str">
        <x:v>Unassigned; ISRM; F&amp;P; Joint</x:v>
      </x:c>
      <x:c r="D23" s="29" t="str">
        <x:v>CRM assignment</x:v>
      </x:c>
      <x:c r="E23" s="29" t="str">
        <x:v>One accountable owner per active action</x:v>
      </x:c>
    </x:row>
    <x:row r="24">
      <x:c r="A24" s="29" t="str">
        <x:v>Data completeness</x:v>
      </x:c>
      <x:c r="B24" s="29" t="str">
        <x:v>Coverage of identity, role, sector, sources, location, expertise and ownership</x:v>
      </x:c>
      <x:c r="C24" s="29" t="str">
        <x:v>0–100%</x:v>
      </x:c>
      <x:c r="D24" s="29" t="str">
        <x:v>Formula</x:v>
      </x:c>
      <x:c r="E24" s="29" t="str">
        <x:v>Completeness is not accuracy</x:v>
      </x:c>
    </x:row>
    <x:row r="27">
      <x:c r="A27" s="33" t="str">
        <x:v>Core governance principles</x:v>
      </x:c>
      <x:c r="B27" s="33"/>
      <x:c r="C27" s="33"/>
      <x:c r="D27" s="33"/>
      <x:c r="E27" s="33"/>
    </x:row>
    <x:row r="28">
      <x:c r="A28" s="29" t="str">
        <x:v>Purpose limitation</x:v>
      </x:c>
      <x:c r="B28" s="47" t="str">
        <x:v>Use the pilot for community management, research, contributor identification and agreed institutional relationship development.</x:v>
      </x:c>
      <x:c r="C28" s="51"/>
      <x:c r="D28" s="51"/>
      <x:c r="E28" s="51"/>
    </x:row>
    <x:row r="29">
      <x:c r="A29" s="29" t="str">
        <x:v>Data minimisation</x:v>
      </x:c>
      <x:c r="B29" s="47" t="str">
        <x:v>Store only fields necessary for those purposes; do not add private or sensitive material merely because it can be found.</x:v>
      </x:c>
      <x:c r="C29" s="51"/>
      <x:c r="D29" s="51"/>
      <x:c r="E29" s="51"/>
    </x:row>
    <x:row r="30">
      <x:c r="A30" s="29" t="str">
        <x:v>Human verification</x:v>
      </x:c>
      <x:c r="B30" s="47" t="str">
        <x:v>AI may assist with sorting and drafting, but identity, expertise, sensitivity and publication decisions require a person.</x:v>
      </x:c>
      <x:c r="C30" s="51"/>
      <x:c r="D30" s="51"/>
      <x:c r="E30" s="51"/>
    </x:row>
    <x:row r="31">
      <x:c r="A31" s="29" t="str">
        <x:v>No hidden follower database</x:v>
      </x:c>
      <x:c r="B31" s="47" t="str">
        <x:v>LinkedIn followers are analysed through official aggregate Page exports; they are not reconstructed as a name-level member list.</x:v>
      </x:c>
      <x:c r="C31" s="51"/>
      <x:c r="D31" s="51"/>
      <x:c r="E31" s="51"/>
    </x:row>
    <x:row r="32">
      <x:c r="A32" s="29" t="str">
        <x:v>Consent before publication</x:v>
      </x:c>
      <x:c r="B32" s="47" t="str">
        <x:v>A public profile can support verification, but publication of a member profile, interview or case study requires an appropriate permission process.</x:v>
      </x:c>
      <x:c r="C32" s="51"/>
      <x:c r="D32" s="51"/>
      <x:c r="E32" s="51"/>
    </x:row>
    <x:row r="33">
      <x:c r="A33" s="29" t="str">
        <x:v>Security review</x:v>
      </x:c>
      <x:c r="B33" s="47" t="str">
        <x:v>Operational wartime cases may contain information that should not be recorded, shared or published. Apply a separate security review.</x:v>
      </x:c>
      <x:c r="C33" s="51"/>
      <x:c r="D33" s="51"/>
      <x:c r="E33" s="51"/>
    </x:row>
    <x:row r="34">
      <x:c r="A34" s="29" t="str">
        <x:v>Update and removal</x:v>
      </x:c>
      <x:c r="B34" s="47" t="str">
        <x:v>Record verification dates, correct inaccurate data and provide a process to archive or remove records when appropriate.</x:v>
      </x:c>
      <x:c r="C34" s="51"/>
      <x:c r="D34" s="51"/>
      <x:c r="E34" s="51"/>
    </x:row>
    <x:row r="37" ht="38" customHeight="1">
      <x:c r="A37" s="24" t="str">
        <x:v>Reference</x:v>
      </x:c>
      <x:c r="B37" s="24" t="str">
        <x:v>URL</x:v>
      </x:c>
      <x:c r="C37" s="24" t="str">
        <x:v>Purpose</x:v>
      </x:c>
      <x:c r="D37" s="24" t="str">
        <x:v>Snapshot / access date</x:v>
      </x:c>
      <x:c r="E37" s="24" t="str">
        <x:v>Note</x:v>
      </x:c>
    </x:row>
    <x:row r="38">
      <x:c r="A38" s="29" t="str">
        <x:v>ISRM LinkedIn Page</x:v>
      </x:c>
      <x:c r="B38" s="29" t="str">
        <x:v>https://uk.linkedin.com/company/the-isrm</x:v>
      </x:c>
      <x:c r="C38" s="29" t="str">
        <x:v>Public page snapshot</x:v>
      </x:c>
      <x:c r="D38" s="32" t="n">
        <x:v>46262</x:v>
      </x:c>
      <x:c r="E38" s="29" t="str">
        <x:v>8,742 followers; 44 associated employees; 35 chapters stated</x:v>
      </x:c>
    </x:row>
    <x:row r="39">
      <x:c r="A39" s="29" t="str">
        <x:v>LinkedIn Page analytics export</x:v>
      </x:c>
      <x:c r="B39" s="29" t="str">
        <x:v>https://www.linkedin.com/help/linkedin/answer/a551206</x:v>
      </x:c>
      <x:c r="C39" s="29" t="str">
        <x:v>Admin export capability</x:v>
      </x:c>
      <x:c r="D39" s="32" t="n">
        <x:v>46262</x:v>
      </x:c>
      <x:c r="E39" s="29" t="str">
        <x:v>Followers, visitors, content and competitor analytics</x:v>
      </x:c>
    </x:row>
    <x:row r="40">
      <x:c r="A40" s="29" t="str">
        <x:v>LinkedIn follower analytics</x:v>
      </x:c>
      <x:c r="B40" s="29" t="str">
        <x:v>https://www.linkedin.com/help/linkedin/answer/a570460</x:v>
      </x:c>
      <x:c r="C40" s="29" t="str">
        <x:v>Available aggregate demographics</x:v>
      </x:c>
      <x:c r="D40" s="32" t="n">
        <x:v>46262</x:v>
      </x:c>
      <x:c r="E40" s="29" t="str">
        <x:v>Location, seniority, function, industry and company size</x:v>
      </x:c>
    </x:row>
    <x:row r="41">
      <x:c r="A41" s="29" t="str">
        <x:v>LinkedIn follower-list limitation</x:v>
      </x:c>
      <x:c r="B41" s="29" t="str">
        <x:v>https://www.linkedin.com/help/linkedin/answer/a541884</x:v>
      </x:c>
      <x:c r="C41" s="29" t="str">
        <x:v>Boundary of name-level follower access</x:v>
      </x:c>
      <x:c r="D41" s="32" t="n">
        <x:v>46262</x:v>
      </x:c>
      <x:c r="E41" s="29" t="str">
        <x:v>No complete Page-follower list</x:v>
      </x:c>
    </x:row>
    <x:row r="42">
      <x:c r="A42" s="29" t="str">
        <x:v>Current pilot source</x:v>
      </x:c>
      <x:c r="B42" s="29" t="str">
        <x:v>isrm_wa.csv</x:v>
      </x:c>
      <x:c r="C42" s="29" t="str">
        <x:v>178 supplied WhatsApp group records</x:v>
      </x:c>
      <x:c r="D42" s="32" t="n">
        <x:v>46262</x:v>
      </x:c>
      <x:c r="E42" s="29" t="str">
        <x:v>Closed-group source; internal handling</x:v>
      </x:c>
    </x:row>
  </x:sheetData>
  <x:mergeCells>
    <x:mergeCell ref="A1:E1"/>
    <x:mergeCell ref="A2:E2"/>
    <x:mergeCell ref="A27:E27"/>
    <x:mergeCell ref="B28:E28"/>
    <x:mergeCell ref="B29:E29"/>
    <x:mergeCell ref="B30:E30"/>
    <x:mergeCell ref="B31:E31"/>
    <x:mergeCell ref="B32:E32"/>
    <x:mergeCell ref="B33:E33"/>
    <x:mergeCell ref="B34:E34"/>
  </x:mergeCells>
  <x:pageMargins left="0.7" right="0.7" top="0.75" bottom="0.75" header="0.3" footer="0.3"/>
  <x:tableParts count="2">
    <x:tablePart xmlns:r="http://schemas.openxmlformats.org/officeDocument/2006/relationships" r:id="R68d22095ca3545c9"/>
    <x:tablePart xmlns:r="http://schemas.openxmlformats.org/officeDocument/2006/relationships" r:id="R1cd553243acf4477"/>
  </x:tableParts>
</x:worksheet>
</file>